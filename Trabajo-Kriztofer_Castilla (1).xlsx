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13_ncr:1_{C8A32CE6-7DEA-42CF-89A0-3FA907CBB8A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Empresa_Castilla" sheetId="1" r:id="rId1"/>
    <sheet name="Universidad" sheetId="5" r:id="rId2"/>
    <sheet name="Ordenar" sheetId="7" r:id="rId3"/>
    <sheet name="Filtros" sheetId="8" r:id="rId4"/>
  </sheets>
  <definedNames>
    <definedName name="_xlnm._FilterDatabase" localSheetId="3" hidden="1">Filtros!$A$1:$I$114</definedName>
    <definedName name="Tabla1">Universidad!$B$18:$C$21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J5" i="5"/>
  <c r="J6" i="5"/>
  <c r="J7" i="5"/>
  <c r="J8" i="5"/>
  <c r="J9" i="5"/>
  <c r="J10" i="5"/>
  <c r="J11" i="5"/>
  <c r="J12" i="5"/>
  <c r="J13" i="5"/>
  <c r="J14" i="5"/>
  <c r="J4" i="5"/>
  <c r="I5" i="5" a="1"/>
  <c r="I5" i="5" s="1"/>
  <c r="I6" i="5" a="1"/>
  <c r="I6" i="5" s="1"/>
  <c r="I7" i="5" a="1"/>
  <c r="I7" i="5" s="1"/>
  <c r="I8" i="5" a="1"/>
  <c r="I8" i="5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4" i="5" a="1"/>
  <c r="I4" i="5" s="1"/>
  <c r="G4" i="5"/>
  <c r="G5" i="5"/>
  <c r="G6" i="5"/>
  <c r="G7" i="5"/>
  <c r="G8" i="5"/>
  <c r="G9" i="5"/>
  <c r="G10" i="5"/>
  <c r="G11" i="5"/>
  <c r="G12" i="5"/>
  <c r="G13" i="5"/>
  <c r="G14" i="5"/>
  <c r="E5" i="5"/>
  <c r="E6" i="5"/>
  <c r="E7" i="5"/>
  <c r="E8" i="5"/>
  <c r="E9" i="5"/>
  <c r="E10" i="5"/>
  <c r="E11" i="5"/>
  <c r="E12" i="5"/>
  <c r="E13" i="5"/>
  <c r="E14" i="5"/>
  <c r="E4" i="5"/>
  <c r="F25" i="1"/>
  <c r="F24" i="1"/>
  <c r="F23" i="1"/>
  <c r="F22" i="1"/>
  <c r="F21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<sst xmlns="http://schemas.openxmlformats.org/spreadsheetml/2006/main" count="1249" uniqueCount="290">
  <si>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</si>
  <si>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</si>
  <si>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</si>
  <si>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</si>
  <si>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</si>
  <si>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</si>
  <si>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</si>
  <si>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</si>
  <si>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</si>
  <si>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</si>
  <si>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</si>
  <si>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</si>
  <si>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Consumo en Soles</t>
  </si>
  <si>
    <t>Mes</t>
  </si>
  <si>
    <t>Consumo de energía eléctrica</t>
  </si>
  <si>
    <t>Costo KWh</t>
  </si>
  <si>
    <t>IGV</t>
  </si>
  <si>
    <t>Total</t>
  </si>
  <si>
    <t>Estadística</t>
  </si>
  <si>
    <t>Promedio</t>
  </si>
  <si>
    <t>Máximo</t>
  </si>
  <si>
    <t>Mínimo</t>
  </si>
  <si>
    <t>Contar &gt;1300</t>
  </si>
  <si>
    <t>Consumo en kWh</t>
  </si>
  <si>
    <t>Relación de alumnos</t>
  </si>
  <si>
    <t>Código alumno</t>
  </si>
  <si>
    <t>Apellidos</t>
  </si>
  <si>
    <t>Nombres</t>
  </si>
  <si>
    <t>Categoria</t>
  </si>
  <si>
    <t>Costo Crédito</t>
  </si>
  <si>
    <t>Cantidad créditos</t>
  </si>
  <si>
    <t>Pensión Base</t>
  </si>
  <si>
    <t>Tipo de pago</t>
  </si>
  <si>
    <t>Descuento 1</t>
  </si>
  <si>
    <t>Descuento 2</t>
  </si>
  <si>
    <t>Pensión Final</t>
  </si>
  <si>
    <t>Alzamora</t>
  </si>
  <si>
    <t>Roberto</t>
  </si>
  <si>
    <t>C</t>
  </si>
  <si>
    <t>Contado</t>
  </si>
  <si>
    <t>Escudero</t>
  </si>
  <si>
    <t>Ana María</t>
  </si>
  <si>
    <t>A</t>
  </si>
  <si>
    <t>Crédito</t>
  </si>
  <si>
    <t>Fernández</t>
  </si>
  <si>
    <t>Rosario</t>
  </si>
  <si>
    <t>B</t>
  </si>
  <si>
    <t>Gamarra</t>
  </si>
  <si>
    <t>Rebeca</t>
  </si>
  <si>
    <t>D</t>
  </si>
  <si>
    <t>Meléndez</t>
  </si>
  <si>
    <t>Leonor</t>
  </si>
  <si>
    <t>Mesones</t>
  </si>
  <si>
    <t>Carlos</t>
  </si>
  <si>
    <t>Ojeda</t>
  </si>
  <si>
    <t>Juan</t>
  </si>
  <si>
    <t>Orbegoso</t>
  </si>
  <si>
    <t>Amparo</t>
  </si>
  <si>
    <t>Pérez</t>
  </si>
  <si>
    <t>Emilio</t>
  </si>
  <si>
    <t>Piñeira</t>
  </si>
  <si>
    <t>Esteban</t>
  </si>
  <si>
    <t>Salgado</t>
  </si>
  <si>
    <t>Ruth</t>
  </si>
  <si>
    <t>Categoría</t>
  </si>
  <si>
    <t>Docente investigador</t>
  </si>
  <si>
    <t>Publicidad</t>
  </si>
  <si>
    <t>Arequipa</t>
  </si>
  <si>
    <t>David</t>
  </si>
  <si>
    <t>Jaramillo</t>
  </si>
  <si>
    <t>Hernandez</t>
  </si>
  <si>
    <t>Evelyn</t>
  </si>
  <si>
    <t>Diaz</t>
  </si>
  <si>
    <t>Administrativo</t>
  </si>
  <si>
    <t>Sandra</t>
  </si>
  <si>
    <t>Cano</t>
  </si>
  <si>
    <t>Gabriel</t>
  </si>
  <si>
    <t>Rodas</t>
  </si>
  <si>
    <t>Jacobo</t>
  </si>
  <si>
    <t>Bustos</t>
  </si>
  <si>
    <t>Docente</t>
  </si>
  <si>
    <t>Mariana</t>
  </si>
  <si>
    <t>Gomez</t>
  </si>
  <si>
    <t>Derecho</t>
  </si>
  <si>
    <t>Catalina</t>
  </si>
  <si>
    <t>Osorio</t>
  </si>
  <si>
    <t>Cathy</t>
  </si>
  <si>
    <t>Higuita</t>
  </si>
  <si>
    <t>Susana</t>
  </si>
  <si>
    <t>Ruiz</t>
  </si>
  <si>
    <t>Camila</t>
  </si>
  <si>
    <t>Dominguez</t>
  </si>
  <si>
    <t>Natalia</t>
  </si>
  <si>
    <t>Aristizabal</t>
  </si>
  <si>
    <t>Miguel</t>
  </si>
  <si>
    <t>Suarez</t>
  </si>
  <si>
    <t>Adriana</t>
  </si>
  <si>
    <t>Hoyos</t>
  </si>
  <si>
    <t>Mauricio</t>
  </si>
  <si>
    <t>Arango</t>
  </si>
  <si>
    <t>Posada</t>
  </si>
  <si>
    <t>Aux. Administrativo</t>
  </si>
  <si>
    <t>Ingeniería</t>
  </si>
  <si>
    <t>Cajamarca</t>
  </si>
  <si>
    <t>Alicia</t>
  </si>
  <si>
    <t>Perez</t>
  </si>
  <si>
    <t>Elisa</t>
  </si>
  <si>
    <t>Mota</t>
  </si>
  <si>
    <t>Dinara</t>
  </si>
  <si>
    <t>Lopez</t>
  </si>
  <si>
    <t>Juliana</t>
  </si>
  <si>
    <t>Castrillón</t>
  </si>
  <si>
    <t>Leonardo</t>
  </si>
  <si>
    <t>Vasquez</t>
  </si>
  <si>
    <t>Barbara</t>
  </si>
  <si>
    <t>Henao</t>
  </si>
  <si>
    <t>Manuel</t>
  </si>
  <si>
    <t>Toro</t>
  </si>
  <si>
    <t>Stepania</t>
  </si>
  <si>
    <t>Zapata</t>
  </si>
  <si>
    <t>Pamela</t>
  </si>
  <si>
    <t>Serna</t>
  </si>
  <si>
    <t>Administración</t>
  </si>
  <si>
    <t>Pablo</t>
  </si>
  <si>
    <t>Rojas</t>
  </si>
  <si>
    <t>Victoria</t>
  </si>
  <si>
    <t>Hincapie</t>
  </si>
  <si>
    <t>Hilda</t>
  </si>
  <si>
    <t>Rodriguez</t>
  </si>
  <si>
    <t>Aux. Técnico</t>
  </si>
  <si>
    <t>Karla</t>
  </si>
  <si>
    <t>Molina</t>
  </si>
  <si>
    <t>Isabella</t>
  </si>
  <si>
    <t>Marquez</t>
  </si>
  <si>
    <t>Santiago</t>
  </si>
  <si>
    <t>Betancurt</t>
  </si>
  <si>
    <t>Gonzalo</t>
  </si>
  <si>
    <t>Betancur</t>
  </si>
  <si>
    <t>Medicina</t>
  </si>
  <si>
    <t>Loreto</t>
  </si>
  <si>
    <t>Raquel</t>
  </si>
  <si>
    <t>Medina</t>
  </si>
  <si>
    <t>Amalia</t>
  </si>
  <si>
    <t>Gutierrez</t>
  </si>
  <si>
    <t>Técnico</t>
  </si>
  <si>
    <t>Alejandra</t>
  </si>
  <si>
    <t>Florez</t>
  </si>
  <si>
    <t>Melisa</t>
  </si>
  <si>
    <t>Uribe</t>
  </si>
  <si>
    <t>Monica</t>
  </si>
  <si>
    <t>Castro</t>
  </si>
  <si>
    <t>Simón</t>
  </si>
  <si>
    <t>Gracía</t>
  </si>
  <si>
    <t>Lina</t>
  </si>
  <si>
    <t>Villamizar</t>
  </si>
  <si>
    <t>Julieth</t>
  </si>
  <si>
    <t>Karina</t>
  </si>
  <si>
    <t>Jimenez</t>
  </si>
  <si>
    <t>Gustavo</t>
  </si>
  <si>
    <t>Mendez</t>
  </si>
  <si>
    <t>Samuel</t>
  </si>
  <si>
    <t>Rico</t>
  </si>
  <si>
    <t>Jessica</t>
  </si>
  <si>
    <t>Carolina</t>
  </si>
  <si>
    <t>Sanchez</t>
  </si>
  <si>
    <t>Cusco</t>
  </si>
  <si>
    <t>Andrés</t>
  </si>
  <si>
    <t>Peláez</t>
  </si>
  <si>
    <t>Maritza</t>
  </si>
  <si>
    <t>Muñoz</t>
  </si>
  <si>
    <t>Julian</t>
  </si>
  <si>
    <t>Duque</t>
  </si>
  <si>
    <t>Vergara</t>
  </si>
  <si>
    <t>Diana</t>
  </si>
  <si>
    <t>Caro</t>
  </si>
  <si>
    <t>Maria</t>
  </si>
  <si>
    <t>Lema</t>
  </si>
  <si>
    <t>Ana</t>
  </si>
  <si>
    <t>Diseño</t>
  </si>
  <si>
    <t>Dalia</t>
  </si>
  <si>
    <t>Lemos</t>
  </si>
  <si>
    <t>Federico</t>
  </si>
  <si>
    <t>Arroyave</t>
  </si>
  <si>
    <t>Luisa</t>
  </si>
  <si>
    <t>Granda</t>
  </si>
  <si>
    <t>Isabel</t>
  </si>
  <si>
    <t>Salamanca</t>
  </si>
  <si>
    <t>Manuela</t>
  </si>
  <si>
    <t>Casadiegos</t>
  </si>
  <si>
    <t>Cristina</t>
  </si>
  <si>
    <t>Cock</t>
  </si>
  <si>
    <t>Melina</t>
  </si>
  <si>
    <t>Acevedo</t>
  </si>
  <si>
    <t>Tatiana</t>
  </si>
  <si>
    <t>Roberta</t>
  </si>
  <si>
    <t>Toledo</t>
  </si>
  <si>
    <t>Jesus</t>
  </si>
  <si>
    <t>Bermudez</t>
  </si>
  <si>
    <t>Paula</t>
  </si>
  <si>
    <t>Palacio</t>
  </si>
  <si>
    <t>Piura</t>
  </si>
  <si>
    <t>Sofia</t>
  </si>
  <si>
    <t>Marulanda</t>
  </si>
  <si>
    <t>Ana Maria</t>
  </si>
  <si>
    <t>Rodríguez</t>
  </si>
  <si>
    <t>Lisa</t>
  </si>
  <si>
    <t>Guerra</t>
  </si>
  <si>
    <t>Alexandra</t>
  </si>
  <si>
    <t>Guerrero</t>
  </si>
  <si>
    <t>Sara</t>
  </si>
  <si>
    <t>Vallejo</t>
  </si>
  <si>
    <t>Sierra</t>
  </si>
  <si>
    <t>Patricia</t>
  </si>
  <si>
    <t>Diez</t>
  </si>
  <si>
    <t>Felipe</t>
  </si>
  <si>
    <t>Girando</t>
  </si>
  <si>
    <t>Tomas</t>
  </si>
  <si>
    <t>Ramirez</t>
  </si>
  <si>
    <t>Tammy</t>
  </si>
  <si>
    <t>Luis</t>
  </si>
  <si>
    <t>Melano</t>
  </si>
  <si>
    <t>Oscar</t>
  </si>
  <si>
    <t>Cifuentes</t>
  </si>
  <si>
    <t>Sebastian</t>
  </si>
  <si>
    <t>Carmona</t>
  </si>
  <si>
    <t>Elena</t>
  </si>
  <si>
    <t>Alberto</t>
  </si>
  <si>
    <t>Daniel</t>
  </si>
  <si>
    <t>Ospina</t>
  </si>
  <si>
    <t>Carmen</t>
  </si>
  <si>
    <t>Garces</t>
  </si>
  <si>
    <t>Tacna</t>
  </si>
  <si>
    <t>Angela</t>
  </si>
  <si>
    <t>Alzate</t>
  </si>
  <si>
    <t>Lucero</t>
  </si>
  <si>
    <t>Andrea</t>
  </si>
  <si>
    <t>Gloria</t>
  </si>
  <si>
    <t>Tamayo</t>
  </si>
  <si>
    <t>Brenda</t>
  </si>
  <si>
    <t>Aguirre</t>
  </si>
  <si>
    <t>Angelina</t>
  </si>
  <si>
    <t>Pulgarin</t>
  </si>
  <si>
    <t>Lima</t>
  </si>
  <si>
    <t>Alejandro</t>
  </si>
  <si>
    <t>Simanca</t>
  </si>
  <si>
    <t>Jorge</t>
  </si>
  <si>
    <t>Idarraga</t>
  </si>
  <si>
    <t>Giraldo</t>
  </si>
  <si>
    <t>Comunicación</t>
  </si>
  <si>
    <t>Ica</t>
  </si>
  <si>
    <t>Zea</t>
  </si>
  <si>
    <t>Sergio</t>
  </si>
  <si>
    <t>Virginia</t>
  </si>
  <si>
    <t>Saldarriaga</t>
  </si>
  <si>
    <t>Javier</t>
  </si>
  <si>
    <t>Santana</t>
  </si>
  <si>
    <t>Lemus</t>
  </si>
  <si>
    <t>Karen</t>
  </si>
  <si>
    <t>Restrepo</t>
  </si>
  <si>
    <t>Antonio</t>
  </si>
  <si>
    <t>Merizalde</t>
  </si>
  <si>
    <t>Francisco</t>
  </si>
  <si>
    <t>Arias</t>
  </si>
  <si>
    <t>Camilo</t>
  </si>
  <si>
    <t>Berrio</t>
  </si>
  <si>
    <t>Rafael</t>
  </si>
  <si>
    <t>Cortes</t>
  </si>
  <si>
    <t>Daniela</t>
  </si>
  <si>
    <t>Franco</t>
  </si>
  <si>
    <t>Marcela</t>
  </si>
  <si>
    <t>De santis</t>
  </si>
  <si>
    <t>Jose</t>
  </si>
  <si>
    <t>Eliana</t>
  </si>
  <si>
    <t>Guillermo</t>
  </si>
  <si>
    <t>Fernandez</t>
  </si>
  <si>
    <t>Estefania</t>
  </si>
  <si>
    <t>Villegas</t>
  </si>
  <si>
    <t>Fch nacimiento</t>
  </si>
  <si>
    <t>Fch comienzo</t>
  </si>
  <si>
    <t>Salario</t>
  </si>
  <si>
    <t>Cargo</t>
  </si>
  <si>
    <t>Facultad</t>
  </si>
  <si>
    <t>Sucursal</t>
  </si>
  <si>
    <t>Nombre</t>
  </si>
  <si>
    <t>Apellido</t>
  </si>
  <si>
    <t>Codigo</t>
  </si>
  <si>
    <t>Suma de p.baja</t>
  </si>
  <si>
    <t>Producción</t>
  </si>
  <si>
    <t>Baja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</si>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</sst>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Fill="1" applyBorder="1" applyAlignment="1"/>
    <xf numFmtId="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1" xfId="0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Consumo</a:t>
            </a:r>
            <a:r>
              <a:rPr lang="es-ES" baseline="0"/>
              <a:t> eléctrico del año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Empresa_Castilla!$A$7:$A$18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Empresa_Castilla!$F$7:$F$18</c:f>
              <c:numCache>
                <c:formatCode>_-[$S/-280A]\ * #,##0.00_-;\-[$S/-280A]\ * #,##0.00_-;_-[$S/-280A]\ * "-"??_-;_-@_-</c:formatCode>
                <c:ptCount val="12"/>
                <c:pt idx="0">
                  <c:v>900.03319999999997</c:v>
                </c:pt>
                <c:pt idx="1">
                  <c:v>1547.2388919999999</c:v>
                </c:pt>
                <c:pt idx="2">
                  <c:v>1560.3302840000001</c:v>
                </c:pt>
                <c:pt idx="3">
                  <c:v>1757.928482</c:v>
                </c:pt>
                <c:pt idx="4">
                  <c:v>1768.5652380000001</c:v>
                </c:pt>
                <c:pt idx="5">
                  <c:v>1762.8377539999999</c:v>
                </c:pt>
                <c:pt idx="6">
                  <c:v>1147.54233</c:v>
                </c:pt>
                <c:pt idx="7">
                  <c:v>1028.083378</c:v>
                </c:pt>
                <c:pt idx="8">
                  <c:v>1645.015226</c:v>
                </c:pt>
                <c:pt idx="9">
                  <c:v>829.25786199999993</c:v>
                </c:pt>
                <c:pt idx="10">
                  <c:v>1834.4313040000002</c:v>
                </c:pt>
                <c:pt idx="11">
                  <c:v>1147.9514360000001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A-4C44-82F2-E0F745D86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9101840"/>
        <c:axId val="609101360"/>
        <c:axId val="0"/>
      </c:bar3DChart>
      <c:catAx>
        <c:axId val="60910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101360"/>
        <c:crosses val="autoZero"/>
        <c:auto val="1"/>
        <c:lblAlgn val="ctr"/>
        <c:lblOffset val="100"/>
        <c:noMultiLvlLbl val="0"/>
      </c:catAx>
      <c:valAx>
        <c:axId val="60910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S/-280A]\ * #,##0.00_-;\-[$S/-280A]\ * #,##0.00_-;_-[$S/-28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10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397807</xdr:colOff>
      <xdr:row>5</xdr:row>
      <xdr:rowOff>17930</xdr:rowOff>
    </xdr:from>
    <xdr:to>
      <xdr:col>12</xdr:col>
      <xdr:colOff>397807</xdr:colOff>
      <xdr:row>18</xdr:row>
      <xdr:rowOff>94130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EB7331-4045-15AC-4390-F062A3D3D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2A1FD5-E36C-4072-9D5E-41557CA6B93C}" name="Tabla2" displayName="Tabla2" ref="A1:I114" totalsRowShown="0">
  <sortState xmlns:xlrd2="http://schemas.microsoft.com/office/spreadsheetml/2017/richdata2" ref="A2:I114">
    <sortCondition ref="D2:D114"/>
    <sortCondition ref="F2:F114"/>
  </sortState>
  <tableColumns count="9">
    <tableColumn id="1" xr3:uid="{B9A7A849-1130-455A-AC6D-341304B7D31A}" name="Codigo"/>
    <tableColumn id="2" xr3:uid="{E1D61E05-C218-4DCC-9729-B562A49CA14E}" name="Apellido"/>
    <tableColumn id="3" xr3:uid="{5FB1A69D-8DDD-464C-BE22-2DF1F870ED00}" name="Nombre"/>
    <tableColumn id="4" xr3:uid="{73A82DC4-7FC0-4B5F-8878-A0944948DF33}" name="Sucursal"/>
    <tableColumn id="5" xr3:uid="{439E99B5-ABA1-420F-9585-E1206CFB3BF6}" name="Facultad"/>
    <tableColumn id="6" xr3:uid="{ED88BBFA-D424-4430-8739-74EAD527DEAD}" name="Cargo"/>
    <tableColumn id="7" xr3:uid="{B6151BF9-78B4-4EBD-80A0-310536D9FE3C}" name="Salario" dataDxfId="2"/>
    <tableColumn id="8" xr3:uid="{ECAF0A7E-02AE-43F1-A7B1-8C4F2EF31A18}" name="Fch comienzo" dataDxfId="1"/>
    <tableColumn id="9" xr3:uid="{9E5D26DE-2EE5-4428-B563-F3018DEC1CDA}" name="Fch nacimien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Normal="100" workbookViewId="0">
      <selection activeCell="H22" sqref="H22"/>
    </sheetView>
  </sheetViews>
  <sheetFormatPr baseColWidth="10" defaultRowHeight="15" x14ac:dyDescent="0.25"/>
  <cols>
    <col min="4" max="4" width="14.5703125" customWidth="1"/>
    <col min="5" max="5" width="13.42578125" customWidth="1"/>
    <col min="6" max="6" width="11.85546875" customWidth="1"/>
  </cols>
  <sheetData>
    <row r="1" spans="1:6" ht="22.5" x14ac:dyDescent="0.3">
      <c r="A1" s="9" t="s">
        <v>14</v>
      </c>
      <c r="B1" s="9"/>
      <c r="C1" s="9"/>
      <c r="D1" s="9"/>
      <c r="E1" s="9"/>
      <c r="F1" s="9"/>
    </row>
    <row r="3" spans="1:6" x14ac:dyDescent="0.25">
      <c r="A3" s="11" t="s">
        <v>15</v>
      </c>
      <c r="B3" s="1">
        <v>0.34670000000000001</v>
      </c>
    </row>
    <row r="4" spans="1:6" x14ac:dyDescent="0.25">
      <c r="A4" s="11" t="s">
        <v>16</v>
      </c>
      <c r="B4" s="1">
        <v>0.18</v>
      </c>
      <c r="C4" s="2"/>
    </row>
    <row r="5" spans="1:6" x14ac:dyDescent="0.25">
      <c r="E5" s="2"/>
    </row>
    <row r="6" spans="1:6" ht="30" x14ac:dyDescent="0.25">
      <c r="A6" s="11" t="s">
        <v>13</v>
      </c>
      <c r="B6" s="11" t="s">
        <v>23</v>
      </c>
      <c r="C6" s="11" t="s">
        <v>287</v>
      </c>
      <c r="D6" s="11" t="s">
        <v>12</v>
      </c>
      <c r="E6" s="11" t="s">
        <v>16</v>
      </c>
      <c r="F6" s="11" t="s">
        <v>17</v>
      </c>
    </row>
    <row r="7" spans="1:6" x14ac:dyDescent="0.25">
      <c r="A7" s="4" t="s">
        <v>0</v>
      </c>
      <c r="B7" s="4">
        <v>2200</v>
      </c>
      <c r="C7" s="4" t="s">
        <v>288</v>
      </c>
      <c r="D7" s="10">
        <f>B7*$B$3</f>
        <v>762.74</v>
      </c>
      <c r="E7" s="10">
        <f>D7*$B$4</f>
        <v>137.29319999999998</v>
      </c>
      <c r="F7" s="10">
        <f>SUM(D7,E7)</f>
        <v>900.03319999999997</v>
      </c>
    </row>
    <row r="8" spans="1:6" x14ac:dyDescent="0.25">
      <c r="A8" s="4" t="s">
        <v>1</v>
      </c>
      <c r="B8" s="4">
        <v>3782</v>
      </c>
      <c r="C8" s="4" t="s">
        <v>289</v>
      </c>
      <c r="D8" s="10">
        <f t="shared" ref="D8:D18" si="0">B8*$B$3</f>
        <v>1311.2194</v>
      </c>
      <c r="E8" s="10">
        <f t="shared" ref="E8:E18" si="1">D8*$B$4</f>
        <v>236.01949199999999</v>
      </c>
      <c r="F8" s="10">
        <f t="shared" ref="F8:F18" si="2">SUM(D8,E8)</f>
        <v>1547.2388919999999</v>
      </c>
    </row>
    <row r="9" spans="1:6" x14ac:dyDescent="0.25">
      <c r="A9" s="4" t="s">
        <v>2</v>
      </c>
      <c r="B9" s="4">
        <v>3814</v>
      </c>
      <c r="C9" s="4" t="s">
        <v>289</v>
      </c>
      <c r="D9" s="10">
        <f t="shared" si="0"/>
        <v>1322.3138000000001</v>
      </c>
      <c r="E9" s="10">
        <f t="shared" si="1"/>
        <v>238.01648400000002</v>
      </c>
      <c r="F9" s="10">
        <f t="shared" si="2"/>
        <v>1560.3302840000001</v>
      </c>
    </row>
    <row r="10" spans="1:6" x14ac:dyDescent="0.25">
      <c r="A10" s="4" t="s">
        <v>3</v>
      </c>
      <c r="B10" s="4">
        <v>4297</v>
      </c>
      <c r="C10" s="4" t="s">
        <v>289</v>
      </c>
      <c r="D10" s="10">
        <f t="shared" si="0"/>
        <v>1489.7699</v>
      </c>
      <c r="E10" s="10">
        <f t="shared" si="1"/>
        <v>268.15858199999997</v>
      </c>
      <c r="F10" s="10">
        <f t="shared" si="2"/>
        <v>1757.928482</v>
      </c>
    </row>
    <row r="11" spans="1:6" x14ac:dyDescent="0.25">
      <c r="A11" s="4" t="s">
        <v>4</v>
      </c>
      <c r="B11" s="4">
        <v>4323</v>
      </c>
      <c r="C11" s="4" t="s">
        <v>289</v>
      </c>
      <c r="D11" s="10">
        <f t="shared" si="0"/>
        <v>1498.7841000000001</v>
      </c>
      <c r="E11" s="10">
        <f t="shared" si="1"/>
        <v>269.781138</v>
      </c>
      <c r="F11" s="10">
        <f t="shared" si="2"/>
        <v>1768.5652380000001</v>
      </c>
    </row>
    <row r="12" spans="1:6" x14ac:dyDescent="0.25">
      <c r="A12" s="4" t="s">
        <v>5</v>
      </c>
      <c r="B12" s="4">
        <v>4309</v>
      </c>
      <c r="C12" s="4" t="s">
        <v>289</v>
      </c>
      <c r="D12" s="10">
        <f t="shared" si="0"/>
        <v>1493.9303</v>
      </c>
      <c r="E12" s="10">
        <f t="shared" si="1"/>
        <v>268.90745399999997</v>
      </c>
      <c r="F12" s="10">
        <f t="shared" si="2"/>
        <v>1762.8377539999999</v>
      </c>
    </row>
    <row r="13" spans="1:6" x14ac:dyDescent="0.25">
      <c r="A13" s="4" t="s">
        <v>6</v>
      </c>
      <c r="B13" s="4">
        <v>2805</v>
      </c>
      <c r="C13" s="4" t="s">
        <v>288</v>
      </c>
      <c r="D13" s="10">
        <f t="shared" si="0"/>
        <v>972.49350000000004</v>
      </c>
      <c r="E13" s="10">
        <f t="shared" si="1"/>
        <v>175.04883000000001</v>
      </c>
      <c r="F13" s="10">
        <f t="shared" si="2"/>
        <v>1147.54233</v>
      </c>
    </row>
    <row r="14" spans="1:6" x14ac:dyDescent="0.25">
      <c r="A14" s="4" t="s">
        <v>7</v>
      </c>
      <c r="B14" s="4">
        <v>2513</v>
      </c>
      <c r="C14" s="4" t="s">
        <v>288</v>
      </c>
      <c r="D14" s="10">
        <f t="shared" si="0"/>
        <v>871.25710000000004</v>
      </c>
      <c r="E14" s="10">
        <f t="shared" si="1"/>
        <v>156.826278</v>
      </c>
      <c r="F14" s="10">
        <f t="shared" si="2"/>
        <v>1028.083378</v>
      </c>
    </row>
    <row r="15" spans="1:6" x14ac:dyDescent="0.25">
      <c r="A15" s="4" t="s">
        <v>8</v>
      </c>
      <c r="B15" s="4">
        <v>4021</v>
      </c>
      <c r="C15" s="4" t="s">
        <v>289</v>
      </c>
      <c r="D15" s="10">
        <f t="shared" si="0"/>
        <v>1394.0807</v>
      </c>
      <c r="E15" s="10">
        <f t="shared" si="1"/>
        <v>250.93452599999998</v>
      </c>
      <c r="F15" s="10">
        <f t="shared" si="2"/>
        <v>1645.015226</v>
      </c>
    </row>
    <row r="16" spans="1:6" x14ac:dyDescent="0.25">
      <c r="A16" s="4" t="s">
        <v>9</v>
      </c>
      <c r="B16" s="4">
        <v>2027</v>
      </c>
      <c r="C16" s="4" t="s">
        <v>288</v>
      </c>
      <c r="D16" s="10">
        <f t="shared" si="0"/>
        <v>702.76089999999999</v>
      </c>
      <c r="E16" s="10">
        <f t="shared" si="1"/>
        <v>126.496962</v>
      </c>
      <c r="F16" s="10">
        <f t="shared" si="2"/>
        <v>829.25786199999993</v>
      </c>
    </row>
    <row r="17" spans="1:6" x14ac:dyDescent="0.25">
      <c r="A17" s="4" t="s">
        <v>10</v>
      </c>
      <c r="B17" s="4">
        <v>4484</v>
      </c>
      <c r="C17" s="4" t="s">
        <v>289</v>
      </c>
      <c r="D17" s="10">
        <f t="shared" si="0"/>
        <v>1554.6028000000001</v>
      </c>
      <c r="E17" s="10">
        <f t="shared" si="1"/>
        <v>279.82850400000001</v>
      </c>
      <c r="F17" s="10">
        <f t="shared" si="2"/>
        <v>1834.4313040000002</v>
      </c>
    </row>
    <row r="18" spans="1:6" x14ac:dyDescent="0.25">
      <c r="A18" s="4" t="s">
        <v>11</v>
      </c>
      <c r="B18" s="4">
        <v>2806</v>
      </c>
      <c r="C18" s="4" t="s">
        <v>288</v>
      </c>
      <c r="D18" s="10">
        <f t="shared" si="0"/>
        <v>972.84019999999998</v>
      </c>
      <c r="E18" s="10">
        <f t="shared" si="1"/>
        <v>175.11123599999999</v>
      </c>
      <c r="F18" s="10">
        <f t="shared" si="2"/>
        <v>1147.9514360000001</v>
      </c>
    </row>
    <row r="20" spans="1:6" x14ac:dyDescent="0.25">
      <c r="E20" s="12" t="s">
        <v>18</v>
      </c>
      <c r="F20" s="12"/>
    </row>
    <row r="21" spans="1:6" x14ac:dyDescent="0.25">
      <c r="E21" s="13" t="s">
        <v>19</v>
      </c>
      <c r="F21" s="16">
        <f>AVERAGE(F7:F18)</f>
        <v>1410.7679488333333</v>
      </c>
    </row>
    <row r="22" spans="1:6" x14ac:dyDescent="0.25">
      <c r="E22" s="13" t="s">
        <v>20</v>
      </c>
      <c r="F22" s="16">
        <f>MAX(F7:F18)</f>
        <v>1834.4313040000002</v>
      </c>
    </row>
    <row r="23" spans="1:6" x14ac:dyDescent="0.25">
      <c r="E23" s="13" t="s">
        <v>21</v>
      </c>
      <c r="F23" s="16">
        <f>MIN(F7:F18)</f>
        <v>829.25786199999993</v>
      </c>
    </row>
    <row r="24" spans="1:6" x14ac:dyDescent="0.25">
      <c r="E24" s="13" t="s">
        <v>22</v>
      </c>
      <c r="F24" s="15">
        <f>COUNTIF(F7:F18,"&gt;1300")</f>
        <v>7</v>
      </c>
    </row>
    <row r="25" spans="1:6" x14ac:dyDescent="0.25">
      <c r="E25" s="14" t="s">
        <v>286</v>
      </c>
      <c r="F25" s="16">
        <f>SUMIF(C7:C18,"Baja",F7:F18)</f>
        <v>5052.8682060000001</v>
      </c>
    </row>
  </sheetData>
  <mergeCells count="2">
    <mergeCell ref="A1:F1"/>
    <mergeCell ref="E20:F20"/>
  </mergeCells>
  <pageMargins left="0.39370078740157483" right="0.39370078740157483" top="0.39370078740157483" bottom="0.3937007874015748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I13" sqref="I13"/>
    </sheetView>
  </sheetViews>
  <sheetFormatPr baseColWidth="10" defaultRowHeight="15" x14ac:dyDescent="0.25"/>
  <cols>
    <col min="2" max="2" width="14.28515625" customWidth="1"/>
    <col min="3" max="3" width="12.85546875" customWidth="1"/>
    <col min="9" max="10" width="11.85546875" bestFit="1" customWidth="1"/>
  </cols>
  <sheetData>
    <row r="1" spans="1:11" ht="18.75" x14ac:dyDescent="0.3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30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</row>
    <row r="4" spans="1:11" x14ac:dyDescent="0.25">
      <c r="A4" s="4">
        <v>2359</v>
      </c>
      <c r="B4" s="4" t="s">
        <v>36</v>
      </c>
      <c r="C4" s="4" t="s">
        <v>37</v>
      </c>
      <c r="D4" s="5" t="s">
        <v>38</v>
      </c>
      <c r="E4" s="4">
        <f>VLOOKUP(D4,Tabla1,2,FALSE)</f>
        <v>60</v>
      </c>
      <c r="F4" s="5">
        <v>24</v>
      </c>
      <c r="G4" s="4">
        <f>E4*F4</f>
        <v>1440</v>
      </c>
      <c r="H4" s="5" t="s">
        <v>39</v>
      </c>
      <c r="I4" s="4" cm="1">
        <f t="array" ref="I4">_xlfn.IFS(H4="Contado",-100,H4="Crédito",0)</f>
        <v>-100</v>
      </c>
      <c r="J4" s="4">
        <f>IF(AND(D4="A",F4&gt;=20),-200,0)</f>
        <v>0</v>
      </c>
      <c r="K4" s="4">
        <f>SUM(G4,I4,J4)</f>
        <v>1340</v>
      </c>
    </row>
    <row r="5" spans="1:11" x14ac:dyDescent="0.25">
      <c r="A5" s="4">
        <v>2058</v>
      </c>
      <c r="B5" s="4" t="s">
        <v>40</v>
      </c>
      <c r="C5" s="4" t="s">
        <v>41</v>
      </c>
      <c r="D5" s="5" t="s">
        <v>42</v>
      </c>
      <c r="E5" s="4">
        <f>VLOOKUP(D5,Tabla1,2,FALSE)</f>
        <v>90</v>
      </c>
      <c r="F5" s="5">
        <v>12</v>
      </c>
      <c r="G5" s="4">
        <f t="shared" ref="G5:G14" si="0">E5*F5</f>
        <v>1080</v>
      </c>
      <c r="H5" s="5" t="s">
        <v>43</v>
      </c>
      <c r="I5" s="4" cm="1">
        <f t="array" ref="I5">_xlfn.IFS(H5="Contado",-100,H5="Crédito",0)</f>
        <v>0</v>
      </c>
      <c r="J5" s="4">
        <f t="shared" ref="J5:J14" si="1">IF(AND(D5="A",F5&gt;=20),-200,0)</f>
        <v>0</v>
      </c>
      <c r="K5" s="4">
        <f t="shared" ref="K5:K14" si="2">SUM(G5,I5,J5)</f>
        <v>1080</v>
      </c>
    </row>
    <row r="6" spans="1:11" x14ac:dyDescent="0.25">
      <c r="A6" s="4">
        <v>3998</v>
      </c>
      <c r="B6" s="4" t="s">
        <v>44</v>
      </c>
      <c r="C6" s="4" t="s">
        <v>45</v>
      </c>
      <c r="D6" s="5" t="s">
        <v>46</v>
      </c>
      <c r="E6" s="4">
        <f>VLOOKUP(D6,Tabla1,2,FALSE)</f>
        <v>75</v>
      </c>
      <c r="F6" s="5">
        <v>20</v>
      </c>
      <c r="G6" s="4">
        <f t="shared" si="0"/>
        <v>1500</v>
      </c>
      <c r="H6" s="5" t="s">
        <v>39</v>
      </c>
      <c r="I6" s="4" cm="1">
        <f t="array" ref="I6">_xlfn.IFS(H6="Contado",-100,H6="Crédito",0)</f>
        <v>-100</v>
      </c>
      <c r="J6" s="4">
        <f t="shared" si="1"/>
        <v>0</v>
      </c>
      <c r="K6" s="4">
        <f t="shared" si="2"/>
        <v>1400</v>
      </c>
    </row>
    <row r="7" spans="1:11" x14ac:dyDescent="0.25">
      <c r="A7" s="4">
        <v>8947</v>
      </c>
      <c r="B7" s="4" t="s">
        <v>47</v>
      </c>
      <c r="C7" s="4" t="s">
        <v>48</v>
      </c>
      <c r="D7" s="5" t="s">
        <v>49</v>
      </c>
      <c r="E7" s="4">
        <f>VLOOKUP(D7,Tabla1,2,FALSE)</f>
        <v>50</v>
      </c>
      <c r="F7" s="5">
        <v>31</v>
      </c>
      <c r="G7" s="4">
        <f t="shared" si="0"/>
        <v>1550</v>
      </c>
      <c r="H7" s="5" t="s">
        <v>43</v>
      </c>
      <c r="I7" s="4" cm="1">
        <f t="array" ref="I7">_xlfn.IFS(H7="Contado",-100,H7="Crédito",0)</f>
        <v>0</v>
      </c>
      <c r="J7" s="4">
        <f t="shared" si="1"/>
        <v>0</v>
      </c>
      <c r="K7" s="4">
        <f t="shared" si="2"/>
        <v>1550</v>
      </c>
    </row>
    <row r="8" spans="1:11" x14ac:dyDescent="0.25">
      <c r="A8" s="4">
        <v>6984</v>
      </c>
      <c r="B8" s="4" t="s">
        <v>50</v>
      </c>
      <c r="C8" s="4" t="s">
        <v>51</v>
      </c>
      <c r="D8" s="5" t="s">
        <v>42</v>
      </c>
      <c r="E8" s="4">
        <f>VLOOKUP(D8,Tabla1,2,FALSE)</f>
        <v>90</v>
      </c>
      <c r="F8" s="5">
        <v>26</v>
      </c>
      <c r="G8" s="4">
        <f t="shared" si="0"/>
        <v>2340</v>
      </c>
      <c r="H8" s="5" t="s">
        <v>39</v>
      </c>
      <c r="I8" s="4" cm="1">
        <f t="array" ref="I8">_xlfn.IFS(H8="Contado",-100,H8="Crédito",0)</f>
        <v>-100</v>
      </c>
      <c r="J8" s="4">
        <f t="shared" si="1"/>
        <v>-200</v>
      </c>
      <c r="K8" s="4">
        <f t="shared" si="2"/>
        <v>2040</v>
      </c>
    </row>
    <row r="9" spans="1:11" x14ac:dyDescent="0.25">
      <c r="A9" s="4">
        <v>6830</v>
      </c>
      <c r="B9" s="4" t="s">
        <v>52</v>
      </c>
      <c r="C9" s="4" t="s">
        <v>53</v>
      </c>
      <c r="D9" s="5" t="s">
        <v>38</v>
      </c>
      <c r="E9" s="4">
        <f>VLOOKUP(D9,Tabla1,2,FALSE)</f>
        <v>60</v>
      </c>
      <c r="F9" s="5">
        <v>25</v>
      </c>
      <c r="G9" s="4">
        <f t="shared" si="0"/>
        <v>1500</v>
      </c>
      <c r="H9" s="5" t="s">
        <v>39</v>
      </c>
      <c r="I9" s="4" cm="1">
        <f t="array" ref="I9">_xlfn.IFS(H9="Contado",-100,H9="Crédito",0)</f>
        <v>-100</v>
      </c>
      <c r="J9" s="4">
        <f t="shared" si="1"/>
        <v>0</v>
      </c>
      <c r="K9" s="4">
        <f t="shared" si="2"/>
        <v>1400</v>
      </c>
    </row>
    <row r="10" spans="1:11" x14ac:dyDescent="0.25">
      <c r="A10" s="4">
        <v>2374</v>
      </c>
      <c r="B10" s="4" t="s">
        <v>54</v>
      </c>
      <c r="C10" s="4" t="s">
        <v>55</v>
      </c>
      <c r="D10" s="5" t="s">
        <v>49</v>
      </c>
      <c r="E10" s="4">
        <f>VLOOKUP(D10,Tabla1,2,FALSE)</f>
        <v>50</v>
      </c>
      <c r="F10" s="5">
        <v>25</v>
      </c>
      <c r="G10" s="4">
        <f t="shared" si="0"/>
        <v>1250</v>
      </c>
      <c r="H10" s="5" t="s">
        <v>43</v>
      </c>
      <c r="I10" s="4" cm="1">
        <f t="array" ref="I10">_xlfn.IFS(H10="Contado",-100,H10="Crédito",0)</f>
        <v>0</v>
      </c>
      <c r="J10" s="4">
        <f t="shared" si="1"/>
        <v>0</v>
      </c>
      <c r="K10" s="4">
        <f t="shared" si="2"/>
        <v>1250</v>
      </c>
    </row>
    <row r="11" spans="1:11" x14ac:dyDescent="0.25">
      <c r="A11" s="4">
        <v>7334</v>
      </c>
      <c r="B11" s="4" t="s">
        <v>56</v>
      </c>
      <c r="C11" s="4" t="s">
        <v>57</v>
      </c>
      <c r="D11" s="5" t="s">
        <v>42</v>
      </c>
      <c r="E11" s="4">
        <f>VLOOKUP(D11,Tabla1,2,FALSE)</f>
        <v>90</v>
      </c>
      <c r="F11" s="5">
        <v>23</v>
      </c>
      <c r="G11" s="4">
        <f t="shared" si="0"/>
        <v>2070</v>
      </c>
      <c r="H11" s="5" t="s">
        <v>43</v>
      </c>
      <c r="I11" s="4" cm="1">
        <f t="array" ref="I11">_xlfn.IFS(H11="Contado",-100,H11="Crédito",0)</f>
        <v>0</v>
      </c>
      <c r="J11" s="4">
        <f t="shared" si="1"/>
        <v>-200</v>
      </c>
      <c r="K11" s="4">
        <f t="shared" si="2"/>
        <v>1870</v>
      </c>
    </row>
    <row r="12" spans="1:11" x14ac:dyDescent="0.25">
      <c r="A12" s="4">
        <v>2175</v>
      </c>
      <c r="B12" s="4" t="s">
        <v>58</v>
      </c>
      <c r="C12" s="4" t="s">
        <v>59</v>
      </c>
      <c r="D12" s="5" t="s">
        <v>46</v>
      </c>
      <c r="E12" s="4">
        <f>VLOOKUP(D12,Tabla1,2,FALSE)</f>
        <v>75</v>
      </c>
      <c r="F12" s="5">
        <v>29</v>
      </c>
      <c r="G12" s="4">
        <f t="shared" si="0"/>
        <v>2175</v>
      </c>
      <c r="H12" s="5" t="s">
        <v>39</v>
      </c>
      <c r="I12" s="4" cm="1">
        <f t="array" ref="I12">_xlfn.IFS(H12="Contado",-100,H12="Crédito",0)</f>
        <v>-100</v>
      </c>
      <c r="J12" s="4">
        <f t="shared" si="1"/>
        <v>0</v>
      </c>
      <c r="K12" s="4">
        <f t="shared" si="2"/>
        <v>2075</v>
      </c>
    </row>
    <row r="13" spans="1:11" x14ac:dyDescent="0.25">
      <c r="A13" s="4">
        <v>3932</v>
      </c>
      <c r="B13" s="4" t="s">
        <v>60</v>
      </c>
      <c r="C13" s="4" t="s">
        <v>61</v>
      </c>
      <c r="D13" s="5" t="s">
        <v>46</v>
      </c>
      <c r="E13" s="4">
        <f>VLOOKUP(D13,Tabla1,2,FALSE)</f>
        <v>75</v>
      </c>
      <c r="F13" s="5">
        <v>27</v>
      </c>
      <c r="G13" s="4">
        <f t="shared" si="0"/>
        <v>2025</v>
      </c>
      <c r="H13" s="5" t="s">
        <v>39</v>
      </c>
      <c r="I13" s="4" cm="1">
        <f t="array" ref="I13">_xlfn.IFS(H13="Contado",-100,H13="Crédito",0)</f>
        <v>-100</v>
      </c>
      <c r="J13" s="4">
        <f t="shared" si="1"/>
        <v>0</v>
      </c>
      <c r="K13" s="4">
        <f t="shared" si="2"/>
        <v>1925</v>
      </c>
    </row>
    <row r="14" spans="1:11" x14ac:dyDescent="0.25">
      <c r="A14" s="4">
        <v>9630</v>
      </c>
      <c r="B14" s="4" t="s">
        <v>62</v>
      </c>
      <c r="C14" s="4" t="s">
        <v>63</v>
      </c>
      <c r="D14" s="5" t="s">
        <v>42</v>
      </c>
      <c r="E14" s="4">
        <f>VLOOKUP(D14,Tabla1,2,FALSE)</f>
        <v>90</v>
      </c>
      <c r="F14" s="5">
        <v>21</v>
      </c>
      <c r="G14" s="4">
        <f t="shared" si="0"/>
        <v>1890</v>
      </c>
      <c r="H14" s="5" t="s">
        <v>39</v>
      </c>
      <c r="I14" s="4" cm="1">
        <f t="array" ref="I14">_xlfn.IFS(H14="Contado",-100,H14="Crédito",0)</f>
        <v>-100</v>
      </c>
      <c r="J14" s="4">
        <f t="shared" si="1"/>
        <v>-200</v>
      </c>
      <c r="K14" s="4">
        <f t="shared" si="2"/>
        <v>1590</v>
      </c>
    </row>
    <row r="17" spans="2:3" ht="30" x14ac:dyDescent="0.25">
      <c r="B17" s="3" t="s">
        <v>64</v>
      </c>
      <c r="C17" s="3" t="s">
        <v>29</v>
      </c>
    </row>
    <row r="18" spans="2:3" x14ac:dyDescent="0.25">
      <c r="B18" s="5" t="s">
        <v>42</v>
      </c>
      <c r="C18" s="5">
        <v>90</v>
      </c>
    </row>
    <row r="19" spans="2:3" x14ac:dyDescent="0.25">
      <c r="B19" s="5" t="s">
        <v>46</v>
      </c>
      <c r="C19" s="5">
        <v>75</v>
      </c>
    </row>
    <row r="20" spans="2:3" x14ac:dyDescent="0.25">
      <c r="B20" s="5" t="s">
        <v>38</v>
      </c>
      <c r="C20" s="5">
        <v>60</v>
      </c>
    </row>
    <row r="21" spans="2:3" x14ac:dyDescent="0.25">
      <c r="B21" s="5" t="s">
        <v>49</v>
      </c>
      <c r="C21" s="5">
        <v>50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A6D9-58E2-4757-A034-F6A3B1A04D30}">
  <dimension ref="A1:I114"/>
  <sheetViews>
    <sheetView workbookViewId="0">
      <selection activeCell="G10" sqref="G10"/>
    </sheetView>
  </sheetViews>
  <sheetFormatPr baseColWidth="10" defaultRowHeight="15" x14ac:dyDescent="0.25"/>
  <cols>
    <col min="8" max="8" width="15.140625" customWidth="1"/>
    <col min="9" max="9" width="16.5703125" customWidth="1"/>
  </cols>
  <sheetData>
    <row r="1" spans="1:9" x14ac:dyDescent="0.25">
      <c r="A1" t="s">
        <v>285</v>
      </c>
      <c r="B1" t="s">
        <v>284</v>
      </c>
      <c r="C1" t="s">
        <v>283</v>
      </c>
      <c r="D1" t="s">
        <v>282</v>
      </c>
      <c r="E1" t="s">
        <v>281</v>
      </c>
      <c r="F1" t="s">
        <v>280</v>
      </c>
      <c r="G1" t="s">
        <v>279</v>
      </c>
      <c r="H1" t="s">
        <v>278</v>
      </c>
      <c r="I1" t="s">
        <v>277</v>
      </c>
    </row>
    <row r="2" spans="1:9" x14ac:dyDescent="0.25">
      <c r="A2">
        <v>1354</v>
      </c>
      <c r="B2" t="s">
        <v>89</v>
      </c>
      <c r="C2" t="s">
        <v>88</v>
      </c>
      <c r="D2" t="s">
        <v>67</v>
      </c>
      <c r="E2" t="s">
        <v>83</v>
      </c>
      <c r="F2" t="s">
        <v>73</v>
      </c>
      <c r="G2" s="7">
        <v>3200</v>
      </c>
      <c r="H2" s="6">
        <v>31538</v>
      </c>
      <c r="I2" s="6">
        <v>17751</v>
      </c>
    </row>
    <row r="3" spans="1:9" x14ac:dyDescent="0.25">
      <c r="A3">
        <v>1369</v>
      </c>
      <c r="B3" t="s">
        <v>75</v>
      </c>
      <c r="C3" t="s">
        <v>74</v>
      </c>
      <c r="D3" t="s">
        <v>67</v>
      </c>
      <c r="E3" t="s">
        <v>66</v>
      </c>
      <c r="F3" t="s">
        <v>73</v>
      </c>
      <c r="G3" s="7">
        <v>4200</v>
      </c>
      <c r="H3" s="6">
        <v>30378</v>
      </c>
      <c r="I3" s="6">
        <v>21689</v>
      </c>
    </row>
    <row r="4" spans="1:9" x14ac:dyDescent="0.25">
      <c r="A4">
        <v>1975</v>
      </c>
      <c r="B4" t="s">
        <v>100</v>
      </c>
      <c r="C4" t="s">
        <v>53</v>
      </c>
      <c r="D4" t="s">
        <v>67</v>
      </c>
      <c r="E4" t="s">
        <v>83</v>
      </c>
      <c r="F4" t="s">
        <v>80</v>
      </c>
      <c r="G4" s="7">
        <v>3200</v>
      </c>
      <c r="H4" s="6">
        <v>33365</v>
      </c>
      <c r="I4" s="6">
        <v>25839</v>
      </c>
    </row>
    <row r="5" spans="1:9" x14ac:dyDescent="0.25">
      <c r="A5">
        <v>1759</v>
      </c>
      <c r="B5" t="s">
        <v>99</v>
      </c>
      <c r="C5" t="s">
        <v>98</v>
      </c>
      <c r="D5" t="s">
        <v>67</v>
      </c>
      <c r="E5" t="s">
        <v>83</v>
      </c>
      <c r="F5" t="s">
        <v>80</v>
      </c>
      <c r="G5" s="7">
        <v>4700</v>
      </c>
      <c r="H5" s="6">
        <v>30020</v>
      </c>
      <c r="I5" s="6">
        <v>22953</v>
      </c>
    </row>
    <row r="6" spans="1:9" x14ac:dyDescent="0.25">
      <c r="A6">
        <v>1055</v>
      </c>
      <c r="B6" t="s">
        <v>97</v>
      </c>
      <c r="C6" t="s">
        <v>96</v>
      </c>
      <c r="D6" t="s">
        <v>67</v>
      </c>
      <c r="E6" t="s">
        <v>83</v>
      </c>
      <c r="F6" t="s">
        <v>80</v>
      </c>
      <c r="G6" s="7">
        <v>3200</v>
      </c>
      <c r="H6" s="6">
        <v>33336</v>
      </c>
      <c r="I6" s="6">
        <v>24704</v>
      </c>
    </row>
    <row r="7" spans="1:9" x14ac:dyDescent="0.25">
      <c r="A7">
        <v>1696</v>
      </c>
      <c r="B7" t="s">
        <v>87</v>
      </c>
      <c r="C7" t="s">
        <v>86</v>
      </c>
      <c r="D7" t="s">
        <v>67</v>
      </c>
      <c r="E7" t="s">
        <v>83</v>
      </c>
      <c r="F7" t="s">
        <v>80</v>
      </c>
      <c r="G7" s="7">
        <v>3200</v>
      </c>
      <c r="H7" s="6">
        <v>30967</v>
      </c>
      <c r="I7" s="6">
        <v>14626</v>
      </c>
    </row>
    <row r="8" spans="1:9" x14ac:dyDescent="0.25">
      <c r="A8">
        <v>1299</v>
      </c>
      <c r="B8" t="s">
        <v>85</v>
      </c>
      <c r="C8" t="s">
        <v>84</v>
      </c>
      <c r="D8" t="s">
        <v>67</v>
      </c>
      <c r="E8" t="s">
        <v>83</v>
      </c>
      <c r="F8" t="s">
        <v>80</v>
      </c>
      <c r="G8" s="7">
        <v>3200</v>
      </c>
      <c r="H8" s="6">
        <v>32863</v>
      </c>
      <c r="I8" s="6">
        <v>23998</v>
      </c>
    </row>
    <row r="9" spans="1:9" x14ac:dyDescent="0.25">
      <c r="A9">
        <v>1529</v>
      </c>
      <c r="B9" t="s">
        <v>82</v>
      </c>
      <c r="C9" t="s">
        <v>81</v>
      </c>
      <c r="D9" t="s">
        <v>67</v>
      </c>
      <c r="E9" t="s">
        <v>66</v>
      </c>
      <c r="F9" t="s">
        <v>80</v>
      </c>
      <c r="G9" s="7">
        <v>3200</v>
      </c>
      <c r="H9" s="6">
        <v>31805</v>
      </c>
      <c r="I9" s="6">
        <v>24476</v>
      </c>
    </row>
    <row r="10" spans="1:9" x14ac:dyDescent="0.25">
      <c r="A10">
        <v>1054</v>
      </c>
      <c r="B10" t="s">
        <v>95</v>
      </c>
      <c r="C10" t="s">
        <v>94</v>
      </c>
      <c r="D10" t="s">
        <v>67</v>
      </c>
      <c r="E10" t="s">
        <v>83</v>
      </c>
      <c r="F10" t="s">
        <v>65</v>
      </c>
      <c r="G10" s="7">
        <v>4100</v>
      </c>
      <c r="H10" s="6">
        <v>33344</v>
      </c>
      <c r="I10" s="6">
        <v>24693</v>
      </c>
    </row>
    <row r="11" spans="1:9" x14ac:dyDescent="0.25">
      <c r="A11">
        <v>1075</v>
      </c>
      <c r="B11" t="s">
        <v>93</v>
      </c>
      <c r="C11" t="s">
        <v>92</v>
      </c>
      <c r="D11" t="s">
        <v>67</v>
      </c>
      <c r="E11" t="s">
        <v>83</v>
      </c>
      <c r="F11" t="s">
        <v>65</v>
      </c>
      <c r="G11" s="7">
        <v>3200</v>
      </c>
      <c r="H11" s="6">
        <v>33823</v>
      </c>
      <c r="I11" s="6">
        <v>25443</v>
      </c>
    </row>
    <row r="12" spans="1:9" x14ac:dyDescent="0.25">
      <c r="A12">
        <v>1966</v>
      </c>
      <c r="B12" t="s">
        <v>91</v>
      </c>
      <c r="C12" t="s">
        <v>90</v>
      </c>
      <c r="D12" t="s">
        <v>67</v>
      </c>
      <c r="E12" t="s">
        <v>83</v>
      </c>
      <c r="F12" t="s">
        <v>65</v>
      </c>
      <c r="G12" s="7">
        <v>3900</v>
      </c>
      <c r="H12" s="6">
        <v>33559</v>
      </c>
      <c r="I12" s="6">
        <v>25327</v>
      </c>
    </row>
    <row r="13" spans="1:9" x14ac:dyDescent="0.25">
      <c r="A13">
        <v>1080</v>
      </c>
      <c r="B13" t="s">
        <v>79</v>
      </c>
      <c r="C13" t="s">
        <v>78</v>
      </c>
      <c r="D13" t="s">
        <v>67</v>
      </c>
      <c r="E13" t="s">
        <v>66</v>
      </c>
      <c r="F13" t="s">
        <v>65</v>
      </c>
      <c r="G13" s="7">
        <v>3700</v>
      </c>
      <c r="H13" s="6">
        <v>32445</v>
      </c>
      <c r="I13" s="6">
        <v>19334</v>
      </c>
    </row>
    <row r="14" spans="1:9" x14ac:dyDescent="0.25">
      <c r="A14">
        <v>1353</v>
      </c>
      <c r="B14" t="s">
        <v>77</v>
      </c>
      <c r="C14" t="s">
        <v>76</v>
      </c>
      <c r="D14" t="s">
        <v>67</v>
      </c>
      <c r="E14" t="s">
        <v>66</v>
      </c>
      <c r="F14" t="s">
        <v>65</v>
      </c>
      <c r="G14" s="7">
        <v>3600</v>
      </c>
      <c r="H14" s="6">
        <v>30204</v>
      </c>
      <c r="I14" s="6">
        <v>21399</v>
      </c>
    </row>
    <row r="15" spans="1:9" x14ac:dyDescent="0.25">
      <c r="A15">
        <v>1370</v>
      </c>
      <c r="B15" t="s">
        <v>72</v>
      </c>
      <c r="C15" t="s">
        <v>71</v>
      </c>
      <c r="D15" t="s">
        <v>67</v>
      </c>
      <c r="E15" t="s">
        <v>66</v>
      </c>
      <c r="F15" t="s">
        <v>65</v>
      </c>
      <c r="G15" s="7">
        <v>3600</v>
      </c>
      <c r="H15" s="6">
        <v>32108</v>
      </c>
      <c r="I15" s="6">
        <v>21693</v>
      </c>
    </row>
    <row r="16" spans="1:9" x14ac:dyDescent="0.25">
      <c r="A16">
        <v>1677</v>
      </c>
      <c r="B16" t="s">
        <v>70</v>
      </c>
      <c r="C16" t="s">
        <v>55</v>
      </c>
      <c r="D16" t="s">
        <v>67</v>
      </c>
      <c r="E16" t="s">
        <v>66</v>
      </c>
      <c r="F16" t="s">
        <v>65</v>
      </c>
      <c r="G16" s="7">
        <v>3700</v>
      </c>
      <c r="H16" s="6">
        <v>32087</v>
      </c>
      <c r="I16" s="6">
        <v>25462</v>
      </c>
    </row>
    <row r="17" spans="1:9" x14ac:dyDescent="0.25">
      <c r="A17">
        <v>1427</v>
      </c>
      <c r="B17" t="s">
        <v>69</v>
      </c>
      <c r="C17" t="s">
        <v>68</v>
      </c>
      <c r="D17" t="s">
        <v>67</v>
      </c>
      <c r="E17" t="s">
        <v>66</v>
      </c>
      <c r="F17" t="s">
        <v>65</v>
      </c>
      <c r="G17" s="7">
        <v>3400</v>
      </c>
      <c r="H17" s="6">
        <v>28368</v>
      </c>
      <c r="I17" s="6">
        <v>21263</v>
      </c>
    </row>
    <row r="18" spans="1:9" x14ac:dyDescent="0.25">
      <c r="A18">
        <v>1725</v>
      </c>
      <c r="B18" t="s">
        <v>133</v>
      </c>
      <c r="C18" t="s">
        <v>132</v>
      </c>
      <c r="D18" t="s">
        <v>103</v>
      </c>
      <c r="E18" t="s">
        <v>122</v>
      </c>
      <c r="F18" t="s">
        <v>73</v>
      </c>
      <c r="G18" s="7">
        <v>5600</v>
      </c>
      <c r="H18" s="6">
        <v>28533</v>
      </c>
      <c r="I18" s="6">
        <v>20235</v>
      </c>
    </row>
    <row r="19" spans="1:9" x14ac:dyDescent="0.25">
      <c r="A19">
        <v>1303</v>
      </c>
      <c r="B19" t="s">
        <v>109</v>
      </c>
      <c r="C19" t="s">
        <v>108</v>
      </c>
      <c r="D19" t="s">
        <v>103</v>
      </c>
      <c r="E19" t="s">
        <v>102</v>
      </c>
      <c r="F19" t="s">
        <v>73</v>
      </c>
      <c r="G19" s="7">
        <v>5600</v>
      </c>
      <c r="H19" s="6">
        <v>32205</v>
      </c>
      <c r="I19" s="6">
        <v>20280</v>
      </c>
    </row>
    <row r="20" spans="1:9" x14ac:dyDescent="0.25">
      <c r="A20">
        <v>1967</v>
      </c>
      <c r="B20" t="s">
        <v>135</v>
      </c>
      <c r="C20" t="s">
        <v>134</v>
      </c>
      <c r="D20" t="s">
        <v>103</v>
      </c>
      <c r="E20" t="s">
        <v>122</v>
      </c>
      <c r="F20" t="s">
        <v>101</v>
      </c>
      <c r="G20" s="7">
        <v>1350</v>
      </c>
      <c r="H20" s="6">
        <v>33551</v>
      </c>
      <c r="I20" s="6">
        <v>25338</v>
      </c>
    </row>
    <row r="21" spans="1:9" x14ac:dyDescent="0.25">
      <c r="A21">
        <v>1509</v>
      </c>
      <c r="B21" t="s">
        <v>121</v>
      </c>
      <c r="C21" t="s">
        <v>120</v>
      </c>
      <c r="D21" t="s">
        <v>103</v>
      </c>
      <c r="E21" t="s">
        <v>102</v>
      </c>
      <c r="F21" t="s">
        <v>101</v>
      </c>
      <c r="G21" s="7">
        <v>1350</v>
      </c>
      <c r="H21" s="6">
        <v>31217</v>
      </c>
      <c r="I21" s="6">
        <v>22943</v>
      </c>
    </row>
    <row r="22" spans="1:9" x14ac:dyDescent="0.25">
      <c r="A22">
        <v>1334</v>
      </c>
      <c r="B22" t="s">
        <v>105</v>
      </c>
      <c r="C22" t="s">
        <v>104</v>
      </c>
      <c r="D22" t="s">
        <v>103</v>
      </c>
      <c r="E22" t="s">
        <v>102</v>
      </c>
      <c r="F22" t="s">
        <v>101</v>
      </c>
      <c r="G22" s="7">
        <v>1350</v>
      </c>
      <c r="H22" s="6">
        <v>32971</v>
      </c>
      <c r="I22" s="6">
        <v>24033</v>
      </c>
    </row>
    <row r="23" spans="1:9" x14ac:dyDescent="0.25">
      <c r="A23">
        <v>1969</v>
      </c>
      <c r="B23" t="s">
        <v>131</v>
      </c>
      <c r="C23" t="s">
        <v>130</v>
      </c>
      <c r="D23" t="s">
        <v>103</v>
      </c>
      <c r="E23" t="s">
        <v>122</v>
      </c>
      <c r="F23" t="s">
        <v>129</v>
      </c>
      <c r="G23">
        <v>980</v>
      </c>
      <c r="H23" s="6">
        <v>32612</v>
      </c>
      <c r="I23" s="6">
        <v>18903</v>
      </c>
    </row>
    <row r="24" spans="1:9" x14ac:dyDescent="0.25">
      <c r="A24">
        <v>1793</v>
      </c>
      <c r="B24" t="s">
        <v>137</v>
      </c>
      <c r="C24" t="s">
        <v>136</v>
      </c>
      <c r="D24" t="s">
        <v>103</v>
      </c>
      <c r="E24" t="s">
        <v>122</v>
      </c>
      <c r="F24" t="s">
        <v>80</v>
      </c>
      <c r="G24" s="7">
        <v>1350</v>
      </c>
      <c r="H24" s="6">
        <v>33223</v>
      </c>
      <c r="I24" s="6">
        <v>25125</v>
      </c>
    </row>
    <row r="25" spans="1:9" x14ac:dyDescent="0.25">
      <c r="A25">
        <v>1962</v>
      </c>
      <c r="B25" t="s">
        <v>128</v>
      </c>
      <c r="C25" t="s">
        <v>127</v>
      </c>
      <c r="D25" t="s">
        <v>103</v>
      </c>
      <c r="E25" t="s">
        <v>122</v>
      </c>
      <c r="F25" t="s">
        <v>80</v>
      </c>
      <c r="G25" s="7">
        <v>2900</v>
      </c>
      <c r="H25" s="6">
        <v>32072</v>
      </c>
      <c r="I25" s="6">
        <v>16533</v>
      </c>
    </row>
    <row r="26" spans="1:9" x14ac:dyDescent="0.25">
      <c r="A26">
        <v>1967</v>
      </c>
      <c r="B26" t="s">
        <v>126</v>
      </c>
      <c r="C26" t="s">
        <v>125</v>
      </c>
      <c r="D26" t="s">
        <v>103</v>
      </c>
      <c r="E26" t="s">
        <v>122</v>
      </c>
      <c r="F26" t="s">
        <v>80</v>
      </c>
      <c r="G26" s="7">
        <v>4600</v>
      </c>
      <c r="H26" s="6">
        <v>30054</v>
      </c>
      <c r="I26" s="6">
        <v>18888</v>
      </c>
    </row>
    <row r="27" spans="1:9" x14ac:dyDescent="0.25">
      <c r="A27">
        <v>1426</v>
      </c>
      <c r="B27" t="s">
        <v>124</v>
      </c>
      <c r="C27" t="s">
        <v>123</v>
      </c>
      <c r="D27" t="s">
        <v>103</v>
      </c>
      <c r="E27" t="s">
        <v>122</v>
      </c>
      <c r="F27" t="s">
        <v>80</v>
      </c>
      <c r="G27" s="7">
        <v>5600</v>
      </c>
      <c r="H27" s="6">
        <v>28376</v>
      </c>
      <c r="I27" s="6">
        <v>24906</v>
      </c>
    </row>
    <row r="28" spans="1:9" x14ac:dyDescent="0.25">
      <c r="A28">
        <v>1673</v>
      </c>
      <c r="B28" t="s">
        <v>119</v>
      </c>
      <c r="C28" t="s">
        <v>118</v>
      </c>
      <c r="D28" t="s">
        <v>103</v>
      </c>
      <c r="E28" t="s">
        <v>102</v>
      </c>
      <c r="F28" t="s">
        <v>80</v>
      </c>
      <c r="G28" s="7">
        <v>1350</v>
      </c>
      <c r="H28" s="6">
        <v>32979</v>
      </c>
      <c r="I28" s="6">
        <v>22890</v>
      </c>
    </row>
    <row r="29" spans="1:9" x14ac:dyDescent="0.25">
      <c r="A29">
        <v>1352</v>
      </c>
      <c r="B29" t="s">
        <v>117</v>
      </c>
      <c r="C29" t="s">
        <v>116</v>
      </c>
      <c r="D29" t="s">
        <v>103</v>
      </c>
      <c r="E29" t="s">
        <v>102</v>
      </c>
      <c r="F29" t="s">
        <v>80</v>
      </c>
      <c r="G29" s="7">
        <v>1980</v>
      </c>
      <c r="H29" s="6">
        <v>30212</v>
      </c>
      <c r="I29" s="6">
        <v>21388</v>
      </c>
    </row>
    <row r="30" spans="1:9" x14ac:dyDescent="0.25">
      <c r="A30">
        <v>1922</v>
      </c>
      <c r="B30" t="s">
        <v>115</v>
      </c>
      <c r="C30" t="s">
        <v>114</v>
      </c>
      <c r="D30" t="s">
        <v>103</v>
      </c>
      <c r="E30" t="s">
        <v>102</v>
      </c>
      <c r="F30" t="s">
        <v>80</v>
      </c>
      <c r="G30" s="7">
        <v>2100</v>
      </c>
      <c r="H30" s="6">
        <v>31751</v>
      </c>
      <c r="I30" s="6">
        <v>22336</v>
      </c>
    </row>
    <row r="31" spans="1:9" x14ac:dyDescent="0.25">
      <c r="A31">
        <v>1518</v>
      </c>
      <c r="B31" t="s">
        <v>113</v>
      </c>
      <c r="C31" t="s">
        <v>112</v>
      </c>
      <c r="D31" t="s">
        <v>103</v>
      </c>
      <c r="E31" t="s">
        <v>102</v>
      </c>
      <c r="F31" t="s">
        <v>80</v>
      </c>
      <c r="G31" s="7">
        <v>2600</v>
      </c>
      <c r="H31" s="6">
        <v>33042</v>
      </c>
      <c r="I31" s="6">
        <v>23203</v>
      </c>
    </row>
    <row r="32" spans="1:9" x14ac:dyDescent="0.25">
      <c r="A32">
        <v>1331</v>
      </c>
      <c r="B32" t="s">
        <v>111</v>
      </c>
      <c r="C32" t="s">
        <v>110</v>
      </c>
      <c r="D32" t="s">
        <v>103</v>
      </c>
      <c r="E32" t="s">
        <v>102</v>
      </c>
      <c r="F32" t="s">
        <v>80</v>
      </c>
      <c r="G32" s="7">
        <v>3100</v>
      </c>
      <c r="H32" s="6">
        <v>32639</v>
      </c>
      <c r="I32" s="6">
        <v>23518</v>
      </c>
    </row>
    <row r="33" spans="1:9" x14ac:dyDescent="0.25">
      <c r="A33">
        <v>1302</v>
      </c>
      <c r="B33" t="s">
        <v>107</v>
      </c>
      <c r="C33" t="s">
        <v>106</v>
      </c>
      <c r="D33" t="s">
        <v>103</v>
      </c>
      <c r="E33" t="s">
        <v>102</v>
      </c>
      <c r="F33" t="s">
        <v>80</v>
      </c>
      <c r="G33" s="7">
        <v>3800</v>
      </c>
      <c r="H33" s="6">
        <v>30892</v>
      </c>
      <c r="I33" s="6">
        <v>20276</v>
      </c>
    </row>
    <row r="34" spans="1:9" x14ac:dyDescent="0.25">
      <c r="A34">
        <v>1656</v>
      </c>
      <c r="B34" t="s">
        <v>99</v>
      </c>
      <c r="C34" t="s">
        <v>193</v>
      </c>
      <c r="D34" t="s">
        <v>165</v>
      </c>
      <c r="E34" t="s">
        <v>178</v>
      </c>
      <c r="F34" t="s">
        <v>73</v>
      </c>
      <c r="G34" s="7">
        <v>2500</v>
      </c>
      <c r="H34" s="6">
        <v>32125</v>
      </c>
      <c r="I34" s="6">
        <v>23283</v>
      </c>
    </row>
    <row r="35" spans="1:9" x14ac:dyDescent="0.25">
      <c r="A35">
        <v>1907</v>
      </c>
      <c r="B35" t="s">
        <v>192</v>
      </c>
      <c r="C35" t="s">
        <v>191</v>
      </c>
      <c r="D35" t="s">
        <v>165</v>
      </c>
      <c r="E35" t="s">
        <v>178</v>
      </c>
      <c r="F35" t="s">
        <v>73</v>
      </c>
      <c r="G35" s="7">
        <v>2600</v>
      </c>
      <c r="H35" s="6">
        <v>32771</v>
      </c>
      <c r="I35" s="6">
        <v>22172</v>
      </c>
    </row>
    <row r="36" spans="1:9" x14ac:dyDescent="0.25">
      <c r="A36">
        <v>1724</v>
      </c>
      <c r="B36" t="s">
        <v>190</v>
      </c>
      <c r="C36" t="s">
        <v>189</v>
      </c>
      <c r="D36" t="s">
        <v>165</v>
      </c>
      <c r="E36" t="s">
        <v>178</v>
      </c>
      <c r="F36" t="s">
        <v>73</v>
      </c>
      <c r="G36" s="7">
        <v>2960</v>
      </c>
      <c r="H36" s="6">
        <v>33083</v>
      </c>
      <c r="I36" s="6">
        <v>23883</v>
      </c>
    </row>
    <row r="37" spans="1:9" x14ac:dyDescent="0.25">
      <c r="A37">
        <v>1292</v>
      </c>
      <c r="B37" t="s">
        <v>186</v>
      </c>
      <c r="C37" t="s">
        <v>185</v>
      </c>
      <c r="D37" t="s">
        <v>165</v>
      </c>
      <c r="E37" t="s">
        <v>178</v>
      </c>
      <c r="F37" t="s">
        <v>73</v>
      </c>
      <c r="G37" s="7">
        <v>4350</v>
      </c>
      <c r="H37" s="6">
        <v>32101</v>
      </c>
      <c r="I37" s="6">
        <v>20563</v>
      </c>
    </row>
    <row r="38" spans="1:9" x14ac:dyDescent="0.25">
      <c r="A38">
        <v>1167</v>
      </c>
      <c r="B38" t="s">
        <v>99</v>
      </c>
      <c r="C38" t="s">
        <v>55</v>
      </c>
      <c r="D38" t="s">
        <v>165</v>
      </c>
      <c r="E38" t="s">
        <v>178</v>
      </c>
      <c r="F38" t="s">
        <v>73</v>
      </c>
      <c r="G38" s="7">
        <v>5600</v>
      </c>
      <c r="H38" s="6">
        <v>33346</v>
      </c>
      <c r="I38" s="6">
        <v>25746</v>
      </c>
    </row>
    <row r="39" spans="1:9" x14ac:dyDescent="0.25">
      <c r="A39">
        <v>1815</v>
      </c>
      <c r="B39" t="s">
        <v>174</v>
      </c>
      <c r="C39" t="s">
        <v>173</v>
      </c>
      <c r="D39" t="s">
        <v>165</v>
      </c>
      <c r="E39" t="s">
        <v>102</v>
      </c>
      <c r="F39" t="s">
        <v>73</v>
      </c>
      <c r="G39" s="7">
        <v>5600</v>
      </c>
      <c r="H39" s="6">
        <v>29276</v>
      </c>
      <c r="I39" s="6">
        <v>21790</v>
      </c>
    </row>
    <row r="40" spans="1:9" x14ac:dyDescent="0.25">
      <c r="A40">
        <v>1906</v>
      </c>
      <c r="B40" t="s">
        <v>195</v>
      </c>
      <c r="C40" t="s">
        <v>194</v>
      </c>
      <c r="D40" t="s">
        <v>165</v>
      </c>
      <c r="E40" t="s">
        <v>178</v>
      </c>
      <c r="F40" t="s">
        <v>101</v>
      </c>
      <c r="G40" s="7">
        <v>1350</v>
      </c>
      <c r="H40" s="6">
        <v>32779</v>
      </c>
      <c r="I40" s="6">
        <v>22161</v>
      </c>
    </row>
    <row r="41" spans="1:9" x14ac:dyDescent="0.25">
      <c r="A41">
        <v>1301</v>
      </c>
      <c r="B41" t="s">
        <v>188</v>
      </c>
      <c r="C41" t="s">
        <v>187</v>
      </c>
      <c r="D41" t="s">
        <v>165</v>
      </c>
      <c r="E41" t="s">
        <v>178</v>
      </c>
      <c r="F41" t="s">
        <v>101</v>
      </c>
      <c r="G41" s="7">
        <v>1350</v>
      </c>
      <c r="H41" s="6">
        <v>30900</v>
      </c>
      <c r="I41" s="6">
        <v>23918</v>
      </c>
    </row>
    <row r="42" spans="1:9" x14ac:dyDescent="0.25">
      <c r="A42">
        <v>1976</v>
      </c>
      <c r="B42" t="s">
        <v>69</v>
      </c>
      <c r="C42" t="s">
        <v>177</v>
      </c>
      <c r="D42" t="s">
        <v>165</v>
      </c>
      <c r="E42" t="s">
        <v>102</v>
      </c>
      <c r="F42" t="s">
        <v>101</v>
      </c>
      <c r="G42" s="7">
        <v>1350</v>
      </c>
      <c r="H42" s="6">
        <v>33357</v>
      </c>
      <c r="I42" s="6">
        <v>25850</v>
      </c>
    </row>
    <row r="43" spans="1:9" x14ac:dyDescent="0.25">
      <c r="A43">
        <v>1168</v>
      </c>
      <c r="B43" t="s">
        <v>176</v>
      </c>
      <c r="C43" t="s">
        <v>175</v>
      </c>
      <c r="D43" t="s">
        <v>165</v>
      </c>
      <c r="E43" t="s">
        <v>102</v>
      </c>
      <c r="F43" t="s">
        <v>101</v>
      </c>
      <c r="G43" s="7">
        <v>1350</v>
      </c>
      <c r="H43" s="6">
        <v>33338</v>
      </c>
      <c r="I43" s="6">
        <v>25757</v>
      </c>
    </row>
    <row r="44" spans="1:9" x14ac:dyDescent="0.25">
      <c r="A44">
        <v>1949</v>
      </c>
      <c r="B44" t="s">
        <v>199</v>
      </c>
      <c r="C44" t="s">
        <v>198</v>
      </c>
      <c r="D44" t="s">
        <v>165</v>
      </c>
      <c r="E44" t="s">
        <v>178</v>
      </c>
      <c r="F44" t="s">
        <v>80</v>
      </c>
      <c r="G44" s="7">
        <v>4100</v>
      </c>
      <c r="H44" s="6">
        <v>29871</v>
      </c>
      <c r="I44" s="6">
        <v>18685</v>
      </c>
    </row>
    <row r="45" spans="1:9" x14ac:dyDescent="0.25">
      <c r="A45">
        <v>1311</v>
      </c>
      <c r="B45" t="s">
        <v>197</v>
      </c>
      <c r="C45" t="s">
        <v>196</v>
      </c>
      <c r="D45" t="s">
        <v>165</v>
      </c>
      <c r="E45" t="s">
        <v>178</v>
      </c>
      <c r="F45" t="s">
        <v>80</v>
      </c>
      <c r="G45" s="7">
        <v>3800</v>
      </c>
      <c r="H45" s="6">
        <v>31681</v>
      </c>
      <c r="I45" s="6">
        <v>23694</v>
      </c>
    </row>
    <row r="46" spans="1:9" x14ac:dyDescent="0.25">
      <c r="A46">
        <v>1950</v>
      </c>
      <c r="B46" t="s">
        <v>184</v>
      </c>
      <c r="C46" t="s">
        <v>183</v>
      </c>
      <c r="D46" t="s">
        <v>165</v>
      </c>
      <c r="E46" t="s">
        <v>178</v>
      </c>
      <c r="F46" t="s">
        <v>80</v>
      </c>
      <c r="G46" s="7">
        <v>4900</v>
      </c>
      <c r="H46" s="6">
        <v>29863</v>
      </c>
      <c r="I46" s="6">
        <v>18696</v>
      </c>
    </row>
    <row r="47" spans="1:9" x14ac:dyDescent="0.25">
      <c r="A47">
        <v>1068</v>
      </c>
      <c r="B47" t="s">
        <v>172</v>
      </c>
      <c r="C47" t="s">
        <v>142</v>
      </c>
      <c r="D47" t="s">
        <v>165</v>
      </c>
      <c r="E47" t="s">
        <v>102</v>
      </c>
      <c r="F47" t="s">
        <v>80</v>
      </c>
      <c r="G47" s="7">
        <v>3200</v>
      </c>
      <c r="H47" s="6">
        <v>32032</v>
      </c>
      <c r="I47" s="6">
        <v>22565</v>
      </c>
    </row>
    <row r="48" spans="1:9" x14ac:dyDescent="0.25">
      <c r="A48">
        <v>1012</v>
      </c>
      <c r="B48" t="s">
        <v>171</v>
      </c>
      <c r="C48" t="s">
        <v>170</v>
      </c>
      <c r="D48" t="s">
        <v>165</v>
      </c>
      <c r="E48" t="s">
        <v>102</v>
      </c>
      <c r="F48" t="s">
        <v>80</v>
      </c>
      <c r="G48" s="7">
        <v>2400</v>
      </c>
      <c r="H48" s="6">
        <v>31438</v>
      </c>
      <c r="I48" s="6">
        <v>23713</v>
      </c>
    </row>
    <row r="49" spans="1:9" x14ac:dyDescent="0.25">
      <c r="A49">
        <v>1301</v>
      </c>
      <c r="B49" t="s">
        <v>169</v>
      </c>
      <c r="C49" t="s">
        <v>168</v>
      </c>
      <c r="D49" t="s">
        <v>165</v>
      </c>
      <c r="E49" t="s">
        <v>102</v>
      </c>
      <c r="F49" t="s">
        <v>80</v>
      </c>
      <c r="G49" s="7">
        <v>3200</v>
      </c>
      <c r="H49" s="6">
        <v>31421</v>
      </c>
      <c r="I49" s="6">
        <v>20360</v>
      </c>
    </row>
    <row r="50" spans="1:9" x14ac:dyDescent="0.25">
      <c r="A50">
        <v>1556</v>
      </c>
      <c r="B50" t="s">
        <v>167</v>
      </c>
      <c r="C50" t="s">
        <v>166</v>
      </c>
      <c r="D50" t="s">
        <v>165</v>
      </c>
      <c r="E50" t="s">
        <v>102</v>
      </c>
      <c r="F50" t="s">
        <v>80</v>
      </c>
      <c r="G50" s="7">
        <v>3200</v>
      </c>
      <c r="H50" s="6">
        <v>29916</v>
      </c>
      <c r="I50" s="6">
        <v>23996</v>
      </c>
    </row>
    <row r="51" spans="1:9" x14ac:dyDescent="0.25">
      <c r="A51">
        <v>1792</v>
      </c>
      <c r="B51" t="s">
        <v>99</v>
      </c>
      <c r="C51" t="s">
        <v>149</v>
      </c>
      <c r="D51" t="s">
        <v>165</v>
      </c>
      <c r="E51" t="s">
        <v>178</v>
      </c>
      <c r="F51" t="s">
        <v>144</v>
      </c>
      <c r="G51" s="7">
        <v>2000</v>
      </c>
      <c r="H51" s="6">
        <v>33231</v>
      </c>
      <c r="I51" s="6">
        <v>25114</v>
      </c>
    </row>
    <row r="52" spans="1:9" x14ac:dyDescent="0.25">
      <c r="A52">
        <v>1977</v>
      </c>
      <c r="B52" t="s">
        <v>182</v>
      </c>
      <c r="C52" t="s">
        <v>181</v>
      </c>
      <c r="D52" t="s">
        <v>165</v>
      </c>
      <c r="E52" t="s">
        <v>178</v>
      </c>
      <c r="F52" t="s">
        <v>144</v>
      </c>
      <c r="G52" s="7">
        <v>1300</v>
      </c>
      <c r="H52" s="6">
        <v>29385</v>
      </c>
      <c r="I52" s="6">
        <v>24730</v>
      </c>
    </row>
    <row r="53" spans="1:9" x14ac:dyDescent="0.25">
      <c r="A53">
        <v>1067</v>
      </c>
      <c r="B53" t="s">
        <v>180</v>
      </c>
      <c r="C53" t="s">
        <v>179</v>
      </c>
      <c r="D53" t="s">
        <v>165</v>
      </c>
      <c r="E53" t="s">
        <v>178</v>
      </c>
      <c r="F53" t="s">
        <v>144</v>
      </c>
      <c r="G53" s="7">
        <v>1100</v>
      </c>
      <c r="H53" s="6">
        <v>32040</v>
      </c>
      <c r="I53" s="6">
        <v>22554</v>
      </c>
    </row>
    <row r="54" spans="1:9" x14ac:dyDescent="0.25">
      <c r="A54">
        <v>1078</v>
      </c>
      <c r="B54" t="s">
        <v>266</v>
      </c>
      <c r="C54" t="s">
        <v>265</v>
      </c>
      <c r="D54" t="s">
        <v>249</v>
      </c>
      <c r="E54" t="s">
        <v>178</v>
      </c>
      <c r="F54" t="s">
        <v>73</v>
      </c>
      <c r="G54" s="7">
        <v>4200</v>
      </c>
      <c r="H54" s="6">
        <v>31503</v>
      </c>
      <c r="I54" s="6">
        <v>22971</v>
      </c>
    </row>
    <row r="55" spans="1:9" x14ac:dyDescent="0.25">
      <c r="A55">
        <v>1573</v>
      </c>
      <c r="B55" t="s">
        <v>270</v>
      </c>
      <c r="C55" t="s">
        <v>269</v>
      </c>
      <c r="D55" t="s">
        <v>249</v>
      </c>
      <c r="E55" t="s">
        <v>122</v>
      </c>
      <c r="F55" t="s">
        <v>101</v>
      </c>
      <c r="G55" s="7">
        <v>1500</v>
      </c>
      <c r="H55" s="6">
        <v>32331</v>
      </c>
      <c r="I55" s="6">
        <v>22067</v>
      </c>
    </row>
    <row r="56" spans="1:9" x14ac:dyDescent="0.25">
      <c r="A56">
        <v>1674</v>
      </c>
      <c r="B56" t="s">
        <v>276</v>
      </c>
      <c r="C56" t="s">
        <v>275</v>
      </c>
      <c r="D56" t="s">
        <v>249</v>
      </c>
      <c r="E56" t="s">
        <v>122</v>
      </c>
      <c r="F56" t="s">
        <v>80</v>
      </c>
      <c r="G56" s="7">
        <v>3200</v>
      </c>
      <c r="H56" s="6">
        <v>33688</v>
      </c>
      <c r="I56" s="6">
        <v>23393</v>
      </c>
    </row>
    <row r="57" spans="1:9" x14ac:dyDescent="0.25">
      <c r="A57">
        <v>1516</v>
      </c>
      <c r="B57" t="s">
        <v>274</v>
      </c>
      <c r="C57" t="s">
        <v>273</v>
      </c>
      <c r="D57" t="s">
        <v>249</v>
      </c>
      <c r="E57" t="s">
        <v>122</v>
      </c>
      <c r="F57" t="s">
        <v>80</v>
      </c>
      <c r="G57" s="7">
        <v>4500</v>
      </c>
      <c r="H57" s="6">
        <v>31112</v>
      </c>
      <c r="I57" s="6">
        <v>23188</v>
      </c>
    </row>
    <row r="58" spans="1:9" x14ac:dyDescent="0.25">
      <c r="A58">
        <v>1330</v>
      </c>
      <c r="B58" t="s">
        <v>217</v>
      </c>
      <c r="C58" t="s">
        <v>272</v>
      </c>
      <c r="D58" t="s">
        <v>249</v>
      </c>
      <c r="E58" t="s">
        <v>122</v>
      </c>
      <c r="F58" t="s">
        <v>80</v>
      </c>
      <c r="G58" s="7">
        <v>3200</v>
      </c>
      <c r="H58" s="6">
        <v>32553</v>
      </c>
      <c r="I58" s="6">
        <v>23514</v>
      </c>
    </row>
    <row r="59" spans="1:9" x14ac:dyDescent="0.25">
      <c r="A59">
        <v>1657</v>
      </c>
      <c r="B59" t="s">
        <v>224</v>
      </c>
      <c r="C59" t="s">
        <v>271</v>
      </c>
      <c r="D59" t="s">
        <v>249</v>
      </c>
      <c r="E59" t="s">
        <v>122</v>
      </c>
      <c r="F59" t="s">
        <v>80</v>
      </c>
      <c r="G59" s="7">
        <v>3200</v>
      </c>
      <c r="H59" s="6">
        <v>32117</v>
      </c>
      <c r="I59" s="6">
        <v>23294</v>
      </c>
    </row>
    <row r="60" spans="1:9" x14ac:dyDescent="0.25">
      <c r="A60">
        <v>1658</v>
      </c>
      <c r="B60" t="s">
        <v>268</v>
      </c>
      <c r="C60" t="s">
        <v>267</v>
      </c>
      <c r="D60" t="s">
        <v>249</v>
      </c>
      <c r="E60" t="s">
        <v>122</v>
      </c>
      <c r="F60" t="s">
        <v>80</v>
      </c>
      <c r="G60" s="7">
        <v>3200</v>
      </c>
      <c r="H60" s="6">
        <v>32300</v>
      </c>
      <c r="I60" s="6">
        <v>23298</v>
      </c>
    </row>
    <row r="61" spans="1:9" x14ac:dyDescent="0.25">
      <c r="A61">
        <v>1695</v>
      </c>
      <c r="B61" t="s">
        <v>264</v>
      </c>
      <c r="C61" t="s">
        <v>263</v>
      </c>
      <c r="D61" t="s">
        <v>249</v>
      </c>
      <c r="E61" t="s">
        <v>178</v>
      </c>
      <c r="F61" t="s">
        <v>80</v>
      </c>
      <c r="G61" s="7">
        <v>3200</v>
      </c>
      <c r="H61" s="6">
        <v>30975</v>
      </c>
      <c r="I61" s="6">
        <v>21920</v>
      </c>
    </row>
    <row r="62" spans="1:9" x14ac:dyDescent="0.25">
      <c r="A62">
        <v>1977</v>
      </c>
      <c r="B62" t="s">
        <v>253</v>
      </c>
      <c r="C62" t="s">
        <v>252</v>
      </c>
      <c r="D62" t="s">
        <v>249</v>
      </c>
      <c r="E62" t="s">
        <v>248</v>
      </c>
      <c r="F62" t="s">
        <v>80</v>
      </c>
      <c r="G62" s="7">
        <v>4200</v>
      </c>
      <c r="H62" s="6">
        <v>33490</v>
      </c>
      <c r="I62" s="6">
        <v>22202</v>
      </c>
    </row>
    <row r="63" spans="1:9" x14ac:dyDescent="0.25">
      <c r="A63">
        <v>1725</v>
      </c>
      <c r="B63" t="s">
        <v>100</v>
      </c>
      <c r="C63" t="s">
        <v>251</v>
      </c>
      <c r="D63" t="s">
        <v>249</v>
      </c>
      <c r="E63" t="s">
        <v>248</v>
      </c>
      <c r="F63" t="s">
        <v>80</v>
      </c>
      <c r="G63" s="7">
        <v>5600</v>
      </c>
      <c r="H63" s="6">
        <v>28523</v>
      </c>
      <c r="I63" s="6">
        <v>19877</v>
      </c>
    </row>
    <row r="64" spans="1:9" x14ac:dyDescent="0.25">
      <c r="A64">
        <v>1675</v>
      </c>
      <c r="B64" t="s">
        <v>250</v>
      </c>
      <c r="C64" t="s">
        <v>245</v>
      </c>
      <c r="D64" t="s">
        <v>249</v>
      </c>
      <c r="E64" t="s">
        <v>248</v>
      </c>
      <c r="F64" t="s">
        <v>80</v>
      </c>
      <c r="G64" s="7">
        <v>6500</v>
      </c>
      <c r="H64" s="6">
        <v>29885</v>
      </c>
      <c r="I64" s="6">
        <v>25447</v>
      </c>
    </row>
    <row r="65" spans="1:9" x14ac:dyDescent="0.25">
      <c r="A65">
        <v>1056</v>
      </c>
      <c r="B65" t="s">
        <v>255</v>
      </c>
      <c r="C65" t="s">
        <v>254</v>
      </c>
      <c r="D65" t="s">
        <v>242</v>
      </c>
      <c r="E65" t="s">
        <v>248</v>
      </c>
      <c r="F65" t="s">
        <v>73</v>
      </c>
      <c r="G65" s="7">
        <v>5600</v>
      </c>
      <c r="H65" s="6">
        <v>29153</v>
      </c>
      <c r="I65" s="6">
        <v>13751</v>
      </c>
    </row>
    <row r="66" spans="1:9" x14ac:dyDescent="0.25">
      <c r="A66">
        <v>1517</v>
      </c>
      <c r="B66" t="s">
        <v>258</v>
      </c>
      <c r="C66" t="s">
        <v>257</v>
      </c>
      <c r="D66" t="s">
        <v>242</v>
      </c>
      <c r="E66" t="s">
        <v>178</v>
      </c>
      <c r="F66" t="s">
        <v>101</v>
      </c>
      <c r="G66" s="7">
        <v>1500</v>
      </c>
      <c r="H66" s="6">
        <v>31104</v>
      </c>
      <c r="I66" s="6">
        <v>23199</v>
      </c>
    </row>
    <row r="67" spans="1:9" x14ac:dyDescent="0.25">
      <c r="A67">
        <v>1723</v>
      </c>
      <c r="B67" t="s">
        <v>247</v>
      </c>
      <c r="C67" t="s">
        <v>61</v>
      </c>
      <c r="D67" t="s">
        <v>242</v>
      </c>
      <c r="E67" t="s">
        <v>102</v>
      </c>
      <c r="F67" t="s">
        <v>101</v>
      </c>
      <c r="G67" s="7">
        <v>1350</v>
      </c>
      <c r="H67" s="6">
        <v>33091</v>
      </c>
      <c r="I67" s="6">
        <v>23872</v>
      </c>
    </row>
    <row r="68" spans="1:9" x14ac:dyDescent="0.25">
      <c r="A68">
        <v>1076</v>
      </c>
      <c r="B68" t="s">
        <v>246</v>
      </c>
      <c r="C68" t="s">
        <v>245</v>
      </c>
      <c r="D68" t="s">
        <v>242</v>
      </c>
      <c r="E68" t="s">
        <v>102</v>
      </c>
      <c r="F68" t="s">
        <v>101</v>
      </c>
      <c r="G68" s="7">
        <v>1200</v>
      </c>
      <c r="H68" s="6">
        <v>29066</v>
      </c>
      <c r="I68" s="6">
        <v>14862</v>
      </c>
    </row>
    <row r="69" spans="1:9" x14ac:dyDescent="0.25">
      <c r="A69">
        <v>1816</v>
      </c>
      <c r="B69" t="s">
        <v>244</v>
      </c>
      <c r="C69" t="s">
        <v>243</v>
      </c>
      <c r="D69" t="s">
        <v>242</v>
      </c>
      <c r="E69" t="s">
        <v>102</v>
      </c>
      <c r="F69" t="s">
        <v>101</v>
      </c>
      <c r="G69" s="7">
        <v>1600</v>
      </c>
      <c r="H69" s="6">
        <v>33062</v>
      </c>
      <c r="I69" s="6">
        <v>25447</v>
      </c>
    </row>
    <row r="70" spans="1:9" x14ac:dyDescent="0.25">
      <c r="A70">
        <v>1285</v>
      </c>
      <c r="B70" t="s">
        <v>262</v>
      </c>
      <c r="C70" t="s">
        <v>261</v>
      </c>
      <c r="D70" t="s">
        <v>242</v>
      </c>
      <c r="E70" t="s">
        <v>178</v>
      </c>
      <c r="F70" t="s">
        <v>80</v>
      </c>
      <c r="G70" s="7">
        <v>3200</v>
      </c>
      <c r="H70" s="6">
        <v>31043</v>
      </c>
      <c r="I70" s="6">
        <v>23002</v>
      </c>
    </row>
    <row r="71" spans="1:9" x14ac:dyDescent="0.25">
      <c r="A71">
        <v>1284</v>
      </c>
      <c r="B71" t="s">
        <v>260</v>
      </c>
      <c r="C71" t="s">
        <v>259</v>
      </c>
      <c r="D71" t="s">
        <v>242</v>
      </c>
      <c r="E71" t="s">
        <v>178</v>
      </c>
      <c r="F71" t="s">
        <v>80</v>
      </c>
      <c r="G71" s="7">
        <v>3200</v>
      </c>
      <c r="H71" s="6">
        <v>31051</v>
      </c>
      <c r="I71" s="6">
        <v>22991</v>
      </c>
    </row>
    <row r="72" spans="1:9" x14ac:dyDescent="0.25">
      <c r="A72">
        <v>1674</v>
      </c>
      <c r="B72" t="s">
        <v>256</v>
      </c>
      <c r="C72" t="s">
        <v>68</v>
      </c>
      <c r="D72" t="s">
        <v>242</v>
      </c>
      <c r="E72" t="s">
        <v>178</v>
      </c>
      <c r="F72" t="s">
        <v>80</v>
      </c>
      <c r="G72" s="7">
        <v>3200</v>
      </c>
      <c r="H72" s="6">
        <v>32971</v>
      </c>
      <c r="I72" s="6">
        <v>22901</v>
      </c>
    </row>
    <row r="73" spans="1:9" x14ac:dyDescent="0.25">
      <c r="A73">
        <v>1968</v>
      </c>
      <c r="B73" t="s">
        <v>72</v>
      </c>
      <c r="C73" t="s">
        <v>81</v>
      </c>
      <c r="D73" t="s">
        <v>242</v>
      </c>
      <c r="E73" t="s">
        <v>248</v>
      </c>
      <c r="F73" t="s">
        <v>80</v>
      </c>
      <c r="G73" s="7">
        <v>3200</v>
      </c>
      <c r="H73" s="6">
        <v>33970</v>
      </c>
      <c r="I73" s="6">
        <v>25342</v>
      </c>
    </row>
    <row r="74" spans="1:9" x14ac:dyDescent="0.25">
      <c r="A74">
        <v>1300</v>
      </c>
      <c r="B74" t="s">
        <v>82</v>
      </c>
      <c r="C74" t="s">
        <v>53</v>
      </c>
      <c r="D74" t="s">
        <v>139</v>
      </c>
      <c r="E74" t="s">
        <v>138</v>
      </c>
      <c r="F74" t="s">
        <v>73</v>
      </c>
      <c r="G74" s="7">
        <v>2300</v>
      </c>
      <c r="H74" s="6">
        <v>32855</v>
      </c>
      <c r="I74" s="6">
        <v>24009</v>
      </c>
    </row>
    <row r="75" spans="1:9" x14ac:dyDescent="0.25">
      <c r="A75">
        <v>1169</v>
      </c>
      <c r="B75" t="s">
        <v>150</v>
      </c>
      <c r="C75" t="s">
        <v>149</v>
      </c>
      <c r="D75" t="s">
        <v>139</v>
      </c>
      <c r="E75" t="s">
        <v>138</v>
      </c>
      <c r="F75" t="s">
        <v>73</v>
      </c>
      <c r="G75" s="7">
        <v>5700</v>
      </c>
      <c r="H75" s="6">
        <v>33890</v>
      </c>
      <c r="I75" s="6">
        <v>25761</v>
      </c>
    </row>
    <row r="76" spans="1:9" x14ac:dyDescent="0.25">
      <c r="A76">
        <v>1557</v>
      </c>
      <c r="B76" t="s">
        <v>152</v>
      </c>
      <c r="C76" t="s">
        <v>151</v>
      </c>
      <c r="D76" t="s">
        <v>139</v>
      </c>
      <c r="E76" t="s">
        <v>138</v>
      </c>
      <c r="F76" t="s">
        <v>101</v>
      </c>
      <c r="G76" s="7">
        <v>1390</v>
      </c>
      <c r="H76" s="6">
        <v>29908</v>
      </c>
      <c r="I76" s="6">
        <v>24007</v>
      </c>
    </row>
    <row r="77" spans="1:9" x14ac:dyDescent="0.25">
      <c r="A77">
        <v>1933</v>
      </c>
      <c r="B77" t="s">
        <v>164</v>
      </c>
      <c r="C77" t="s">
        <v>94</v>
      </c>
      <c r="D77" t="s">
        <v>139</v>
      </c>
      <c r="E77" t="s">
        <v>102</v>
      </c>
      <c r="F77" t="s">
        <v>80</v>
      </c>
      <c r="G77" s="7">
        <v>3200</v>
      </c>
      <c r="H77" s="6">
        <v>30689</v>
      </c>
      <c r="I77" s="6">
        <v>18061</v>
      </c>
    </row>
    <row r="78" spans="1:9" x14ac:dyDescent="0.25">
      <c r="A78">
        <v>1333</v>
      </c>
      <c r="B78" t="s">
        <v>75</v>
      </c>
      <c r="C78" t="s">
        <v>163</v>
      </c>
      <c r="D78" t="s">
        <v>139</v>
      </c>
      <c r="E78" t="s">
        <v>102</v>
      </c>
      <c r="F78" t="s">
        <v>80</v>
      </c>
      <c r="G78" s="7">
        <v>3200</v>
      </c>
      <c r="H78" s="6">
        <v>32979</v>
      </c>
      <c r="I78" s="6">
        <v>24022</v>
      </c>
    </row>
    <row r="79" spans="1:9" x14ac:dyDescent="0.25">
      <c r="A79">
        <v>1510</v>
      </c>
      <c r="B79" t="s">
        <v>133</v>
      </c>
      <c r="C79" t="s">
        <v>162</v>
      </c>
      <c r="D79" t="s">
        <v>139</v>
      </c>
      <c r="E79" t="s">
        <v>102</v>
      </c>
      <c r="F79" t="s">
        <v>80</v>
      </c>
      <c r="G79" s="7">
        <v>4800</v>
      </c>
      <c r="H79" s="6">
        <v>31209</v>
      </c>
      <c r="I79" s="6">
        <v>22954</v>
      </c>
    </row>
    <row r="80" spans="1:9" x14ac:dyDescent="0.25">
      <c r="A80">
        <v>1574</v>
      </c>
      <c r="B80" t="s">
        <v>161</v>
      </c>
      <c r="C80" t="s">
        <v>160</v>
      </c>
      <c r="D80" t="s">
        <v>139</v>
      </c>
      <c r="E80" t="s">
        <v>102</v>
      </c>
      <c r="F80" t="s">
        <v>80</v>
      </c>
      <c r="G80" s="7">
        <v>3200</v>
      </c>
      <c r="H80" s="6">
        <v>31452</v>
      </c>
      <c r="I80" s="6">
        <v>22071</v>
      </c>
    </row>
    <row r="81" spans="1:9" x14ac:dyDescent="0.25">
      <c r="A81">
        <v>1360</v>
      </c>
      <c r="B81" t="s">
        <v>159</v>
      </c>
      <c r="C81" t="s">
        <v>158</v>
      </c>
      <c r="D81" t="s">
        <v>139</v>
      </c>
      <c r="E81" t="s">
        <v>102</v>
      </c>
      <c r="F81" t="s">
        <v>80</v>
      </c>
      <c r="G81" s="7">
        <v>4000</v>
      </c>
      <c r="H81" s="6">
        <v>32356</v>
      </c>
      <c r="I81" s="6">
        <v>22085</v>
      </c>
    </row>
    <row r="82" spans="1:9" x14ac:dyDescent="0.25">
      <c r="A82">
        <v>1329</v>
      </c>
      <c r="B82" t="s">
        <v>85</v>
      </c>
      <c r="C82" t="s">
        <v>155</v>
      </c>
      <c r="D82" t="s">
        <v>139</v>
      </c>
      <c r="E82" t="s">
        <v>138</v>
      </c>
      <c r="F82" t="s">
        <v>80</v>
      </c>
      <c r="G82" s="7">
        <v>3500</v>
      </c>
      <c r="H82" s="6">
        <v>32561</v>
      </c>
      <c r="I82" s="6">
        <v>23503</v>
      </c>
    </row>
    <row r="83" spans="1:9" x14ac:dyDescent="0.25">
      <c r="A83">
        <v>1572</v>
      </c>
      <c r="B83" t="s">
        <v>154</v>
      </c>
      <c r="C83" t="s">
        <v>153</v>
      </c>
      <c r="D83" t="s">
        <v>139</v>
      </c>
      <c r="E83" t="s">
        <v>138</v>
      </c>
      <c r="F83" t="s">
        <v>80</v>
      </c>
      <c r="G83" s="7">
        <v>3600</v>
      </c>
      <c r="H83" s="6">
        <v>32339</v>
      </c>
      <c r="I83" s="6">
        <v>22056</v>
      </c>
    </row>
    <row r="84" spans="1:9" x14ac:dyDescent="0.25">
      <c r="A84">
        <v>1041</v>
      </c>
      <c r="B84" t="s">
        <v>143</v>
      </c>
      <c r="C84" t="s">
        <v>142</v>
      </c>
      <c r="D84" t="s">
        <v>139</v>
      </c>
      <c r="E84" t="s">
        <v>138</v>
      </c>
      <c r="F84" t="s">
        <v>80</v>
      </c>
      <c r="G84" s="7">
        <v>4900</v>
      </c>
      <c r="H84" s="6">
        <v>33710</v>
      </c>
      <c r="I84" s="6">
        <v>23767</v>
      </c>
    </row>
    <row r="85" spans="1:9" x14ac:dyDescent="0.25">
      <c r="A85">
        <v>1361</v>
      </c>
      <c r="B85" t="s">
        <v>141</v>
      </c>
      <c r="C85" t="s">
        <v>140</v>
      </c>
      <c r="D85" t="s">
        <v>139</v>
      </c>
      <c r="E85" t="s">
        <v>138</v>
      </c>
      <c r="F85" t="s">
        <v>80</v>
      </c>
      <c r="G85" s="7">
        <v>2940</v>
      </c>
      <c r="H85" s="6">
        <v>32346</v>
      </c>
      <c r="I85" s="6">
        <v>22089</v>
      </c>
    </row>
    <row r="86" spans="1:9" x14ac:dyDescent="0.25">
      <c r="A86">
        <v>1293</v>
      </c>
      <c r="B86" t="s">
        <v>157</v>
      </c>
      <c r="C86" t="s">
        <v>156</v>
      </c>
      <c r="D86" t="s">
        <v>139</v>
      </c>
      <c r="E86" t="s">
        <v>102</v>
      </c>
      <c r="F86" t="s">
        <v>144</v>
      </c>
      <c r="G86" s="7">
        <v>1700</v>
      </c>
      <c r="H86" s="6">
        <v>30939</v>
      </c>
      <c r="I86" s="6">
        <v>19961</v>
      </c>
    </row>
    <row r="87" spans="1:9" x14ac:dyDescent="0.25">
      <c r="A87">
        <v>1758</v>
      </c>
      <c r="B87" t="s">
        <v>148</v>
      </c>
      <c r="C87" t="s">
        <v>147</v>
      </c>
      <c r="D87" t="s">
        <v>139</v>
      </c>
      <c r="E87" t="s">
        <v>138</v>
      </c>
      <c r="F87" t="s">
        <v>144</v>
      </c>
      <c r="G87" s="7">
        <v>1900</v>
      </c>
      <c r="H87" s="6">
        <v>30028</v>
      </c>
      <c r="I87" s="6">
        <v>22942</v>
      </c>
    </row>
    <row r="88" spans="1:9" x14ac:dyDescent="0.25">
      <c r="A88">
        <v>1310</v>
      </c>
      <c r="B88" t="s">
        <v>146</v>
      </c>
      <c r="C88" t="s">
        <v>145</v>
      </c>
      <c r="D88" t="s">
        <v>139</v>
      </c>
      <c r="E88" t="s">
        <v>138</v>
      </c>
      <c r="F88" t="s">
        <v>144</v>
      </c>
      <c r="G88" s="7">
        <v>1350</v>
      </c>
      <c r="H88" s="6">
        <v>31689</v>
      </c>
      <c r="I88" s="6">
        <v>23683</v>
      </c>
    </row>
    <row r="89" spans="1:9" x14ac:dyDescent="0.25">
      <c r="A89">
        <v>1931</v>
      </c>
      <c r="B89" t="s">
        <v>99</v>
      </c>
      <c r="C89" t="s">
        <v>214</v>
      </c>
      <c r="D89" t="s">
        <v>200</v>
      </c>
      <c r="E89" t="s">
        <v>122</v>
      </c>
      <c r="F89" t="s">
        <v>73</v>
      </c>
      <c r="G89" s="7">
        <v>2560</v>
      </c>
      <c r="H89" s="6">
        <v>32679</v>
      </c>
      <c r="I89" s="6">
        <v>25351</v>
      </c>
    </row>
    <row r="90" spans="1:9" x14ac:dyDescent="0.25">
      <c r="A90">
        <v>1932</v>
      </c>
      <c r="B90" t="s">
        <v>230</v>
      </c>
      <c r="C90" t="s">
        <v>225</v>
      </c>
      <c r="D90" t="s">
        <v>200</v>
      </c>
      <c r="E90" t="s">
        <v>122</v>
      </c>
      <c r="F90" t="s">
        <v>73</v>
      </c>
      <c r="G90" s="7">
        <v>2400</v>
      </c>
      <c r="H90" s="6">
        <v>32671</v>
      </c>
      <c r="I90" s="6">
        <v>18057</v>
      </c>
    </row>
    <row r="91" spans="1:9" x14ac:dyDescent="0.25">
      <c r="A91">
        <v>1908</v>
      </c>
      <c r="B91" t="s">
        <v>213</v>
      </c>
      <c r="C91" t="s">
        <v>212</v>
      </c>
      <c r="D91" t="s">
        <v>200</v>
      </c>
      <c r="E91" t="s">
        <v>122</v>
      </c>
      <c r="F91" t="s">
        <v>73</v>
      </c>
      <c r="G91" s="7">
        <v>5600</v>
      </c>
      <c r="H91" s="6">
        <v>30817</v>
      </c>
      <c r="I91" s="6">
        <v>21449</v>
      </c>
    </row>
    <row r="92" spans="1:9" x14ac:dyDescent="0.25">
      <c r="A92">
        <v>1291</v>
      </c>
      <c r="B92" t="s">
        <v>148</v>
      </c>
      <c r="C92" t="s">
        <v>229</v>
      </c>
      <c r="D92" t="s">
        <v>200</v>
      </c>
      <c r="E92" t="s">
        <v>122</v>
      </c>
      <c r="F92" t="s">
        <v>101</v>
      </c>
      <c r="G92" s="7">
        <v>1350</v>
      </c>
      <c r="H92" s="6">
        <v>31042</v>
      </c>
      <c r="I92" s="6">
        <v>20559</v>
      </c>
    </row>
    <row r="93" spans="1:9" x14ac:dyDescent="0.25">
      <c r="A93">
        <v>1960</v>
      </c>
      <c r="B93" t="s">
        <v>215</v>
      </c>
      <c r="C93" t="s">
        <v>214</v>
      </c>
      <c r="D93" t="s">
        <v>200</v>
      </c>
      <c r="E93" t="s">
        <v>122</v>
      </c>
      <c r="F93" t="s">
        <v>101</v>
      </c>
      <c r="G93" s="7">
        <v>1350</v>
      </c>
      <c r="H93" s="6">
        <v>31729</v>
      </c>
      <c r="I93" s="6">
        <v>23823</v>
      </c>
    </row>
    <row r="94" spans="1:9" x14ac:dyDescent="0.25">
      <c r="A94">
        <v>1530</v>
      </c>
      <c r="B94" t="s">
        <v>228</v>
      </c>
      <c r="C94" t="s">
        <v>227</v>
      </c>
      <c r="D94" t="s">
        <v>200</v>
      </c>
      <c r="E94" t="s">
        <v>122</v>
      </c>
      <c r="F94" t="s">
        <v>80</v>
      </c>
      <c r="G94" s="7">
        <v>1460</v>
      </c>
      <c r="H94" s="6">
        <v>33258</v>
      </c>
      <c r="I94" s="6">
        <v>24487</v>
      </c>
    </row>
    <row r="95" spans="1:9" x14ac:dyDescent="0.25">
      <c r="A95">
        <v>1152</v>
      </c>
      <c r="B95" t="s">
        <v>167</v>
      </c>
      <c r="C95" t="s">
        <v>226</v>
      </c>
      <c r="D95" t="s">
        <v>200</v>
      </c>
      <c r="E95" t="s">
        <v>122</v>
      </c>
      <c r="F95" t="s">
        <v>80</v>
      </c>
      <c r="G95" s="7">
        <v>1350</v>
      </c>
      <c r="H95" s="6">
        <v>32894</v>
      </c>
      <c r="I95" s="6">
        <v>24038</v>
      </c>
    </row>
    <row r="96" spans="1:9" x14ac:dyDescent="0.25">
      <c r="A96">
        <v>1079</v>
      </c>
      <c r="B96" t="s">
        <v>105</v>
      </c>
      <c r="C96" t="s">
        <v>225</v>
      </c>
      <c r="D96" t="s">
        <v>200</v>
      </c>
      <c r="E96" t="s">
        <v>122</v>
      </c>
      <c r="F96" t="s">
        <v>80</v>
      </c>
      <c r="G96" s="7">
        <v>1350</v>
      </c>
      <c r="H96" s="6">
        <v>31495</v>
      </c>
      <c r="I96" s="6">
        <v>22982</v>
      </c>
    </row>
    <row r="97" spans="1:9" x14ac:dyDescent="0.25">
      <c r="A97">
        <v>1676</v>
      </c>
      <c r="B97" t="s">
        <v>224</v>
      </c>
      <c r="C97" t="s">
        <v>223</v>
      </c>
      <c r="D97" t="s">
        <v>200</v>
      </c>
      <c r="E97" t="s">
        <v>122</v>
      </c>
      <c r="F97" t="s">
        <v>80</v>
      </c>
      <c r="G97" s="7">
        <v>1500</v>
      </c>
      <c r="H97" s="6">
        <v>29877</v>
      </c>
      <c r="I97" s="6">
        <v>25458</v>
      </c>
    </row>
    <row r="98" spans="1:9" x14ac:dyDescent="0.25">
      <c r="A98">
        <v>1290</v>
      </c>
      <c r="B98" t="s">
        <v>222</v>
      </c>
      <c r="C98" t="s">
        <v>221</v>
      </c>
      <c r="D98" t="s">
        <v>200</v>
      </c>
      <c r="E98" t="s">
        <v>122</v>
      </c>
      <c r="F98" t="s">
        <v>80</v>
      </c>
      <c r="G98" s="7">
        <v>1350</v>
      </c>
      <c r="H98" s="6">
        <v>31050</v>
      </c>
      <c r="I98" s="6">
        <v>24200</v>
      </c>
    </row>
    <row r="99" spans="1:9" x14ac:dyDescent="0.25">
      <c r="A99">
        <v>1961</v>
      </c>
      <c r="B99" t="s">
        <v>69</v>
      </c>
      <c r="C99" t="s">
        <v>134</v>
      </c>
      <c r="D99" t="s">
        <v>200</v>
      </c>
      <c r="E99" t="s">
        <v>122</v>
      </c>
      <c r="F99" t="s">
        <v>80</v>
      </c>
      <c r="G99" s="7">
        <v>1350</v>
      </c>
      <c r="H99" s="6">
        <v>31721</v>
      </c>
      <c r="I99" s="6">
        <v>23834</v>
      </c>
    </row>
    <row r="100" spans="1:9" x14ac:dyDescent="0.25">
      <c r="A100">
        <v>1675</v>
      </c>
      <c r="B100" t="s">
        <v>220</v>
      </c>
      <c r="C100" t="s">
        <v>219</v>
      </c>
      <c r="D100" t="s">
        <v>200</v>
      </c>
      <c r="E100" t="s">
        <v>122</v>
      </c>
      <c r="F100" t="s">
        <v>80</v>
      </c>
      <c r="G100" s="7">
        <v>1350</v>
      </c>
      <c r="H100" s="6">
        <v>33680</v>
      </c>
      <c r="I100" s="6">
        <v>23404</v>
      </c>
    </row>
    <row r="101" spans="1:9" x14ac:dyDescent="0.25">
      <c r="A101">
        <v>1368</v>
      </c>
      <c r="B101" t="s">
        <v>159</v>
      </c>
      <c r="C101" t="s">
        <v>218</v>
      </c>
      <c r="D101" t="s">
        <v>200</v>
      </c>
      <c r="E101" t="s">
        <v>122</v>
      </c>
      <c r="F101" t="s">
        <v>80</v>
      </c>
      <c r="G101" s="7">
        <v>1280</v>
      </c>
      <c r="H101" s="6">
        <v>30386</v>
      </c>
      <c r="I101" s="6">
        <v>21678</v>
      </c>
    </row>
    <row r="102" spans="1:9" x14ac:dyDescent="0.25">
      <c r="A102">
        <v>1011</v>
      </c>
      <c r="B102" t="s">
        <v>211</v>
      </c>
      <c r="C102" t="s">
        <v>183</v>
      </c>
      <c r="D102" t="s">
        <v>200</v>
      </c>
      <c r="E102" t="s">
        <v>122</v>
      </c>
      <c r="F102" t="s">
        <v>80</v>
      </c>
      <c r="G102" s="7">
        <v>2700</v>
      </c>
      <c r="H102" s="6">
        <v>31446</v>
      </c>
      <c r="I102" s="6">
        <v>23702</v>
      </c>
    </row>
    <row r="103" spans="1:9" x14ac:dyDescent="0.25">
      <c r="A103">
        <v>1359</v>
      </c>
      <c r="B103" t="s">
        <v>210</v>
      </c>
      <c r="C103" t="s">
        <v>209</v>
      </c>
      <c r="D103" t="s">
        <v>200</v>
      </c>
      <c r="E103" t="s">
        <v>178</v>
      </c>
      <c r="F103" t="s">
        <v>80</v>
      </c>
      <c r="G103" s="7">
        <v>2300</v>
      </c>
      <c r="H103" s="6">
        <v>33094</v>
      </c>
      <c r="I103" s="6">
        <v>22074</v>
      </c>
    </row>
    <row r="104" spans="1:9" x14ac:dyDescent="0.25">
      <c r="A104">
        <v>1724</v>
      </c>
      <c r="B104" t="s">
        <v>208</v>
      </c>
      <c r="C104" t="s">
        <v>207</v>
      </c>
      <c r="D104" t="s">
        <v>200</v>
      </c>
      <c r="E104" t="s">
        <v>178</v>
      </c>
      <c r="F104" t="s">
        <v>80</v>
      </c>
      <c r="G104" s="7">
        <v>2300</v>
      </c>
      <c r="H104" s="6">
        <v>28531</v>
      </c>
      <c r="I104" s="6">
        <v>19866</v>
      </c>
    </row>
    <row r="105" spans="1:9" x14ac:dyDescent="0.25">
      <c r="A105">
        <v>1923</v>
      </c>
      <c r="B105" t="s">
        <v>206</v>
      </c>
      <c r="C105" t="s">
        <v>205</v>
      </c>
      <c r="D105" t="s">
        <v>200</v>
      </c>
      <c r="E105" t="s">
        <v>178</v>
      </c>
      <c r="F105" t="s">
        <v>80</v>
      </c>
      <c r="G105" s="7">
        <v>2300</v>
      </c>
      <c r="H105" s="6">
        <v>31743</v>
      </c>
      <c r="I105" s="6">
        <v>22347</v>
      </c>
    </row>
    <row r="106" spans="1:9" x14ac:dyDescent="0.25">
      <c r="A106">
        <v>1794</v>
      </c>
      <c r="B106" t="s">
        <v>204</v>
      </c>
      <c r="C106" t="s">
        <v>203</v>
      </c>
      <c r="D106" t="s">
        <v>200</v>
      </c>
      <c r="E106" t="s">
        <v>178</v>
      </c>
      <c r="F106" t="s">
        <v>80</v>
      </c>
      <c r="G106" s="7">
        <v>2300</v>
      </c>
      <c r="H106" s="6">
        <v>31034</v>
      </c>
      <c r="I106" s="6">
        <v>25129</v>
      </c>
    </row>
    <row r="107" spans="1:9" x14ac:dyDescent="0.25">
      <c r="A107">
        <v>1558</v>
      </c>
      <c r="B107" t="s">
        <v>202</v>
      </c>
      <c r="C107" t="s">
        <v>201</v>
      </c>
      <c r="D107" t="s">
        <v>200</v>
      </c>
      <c r="E107" t="s">
        <v>178</v>
      </c>
      <c r="F107" t="s">
        <v>80</v>
      </c>
      <c r="G107" s="7">
        <v>2300</v>
      </c>
      <c r="H107" s="6">
        <v>30240</v>
      </c>
      <c r="I107" s="6">
        <v>24011</v>
      </c>
    </row>
    <row r="108" spans="1:9" x14ac:dyDescent="0.25">
      <c r="A108">
        <v>1153</v>
      </c>
      <c r="B108" t="s">
        <v>217</v>
      </c>
      <c r="C108" t="s">
        <v>216</v>
      </c>
      <c r="D108" t="s">
        <v>200</v>
      </c>
      <c r="E108" t="s">
        <v>122</v>
      </c>
      <c r="F108" t="s">
        <v>144</v>
      </c>
      <c r="G108" s="7">
        <v>1350</v>
      </c>
      <c r="H108" s="6">
        <v>32886</v>
      </c>
      <c r="I108" s="6">
        <v>24049</v>
      </c>
    </row>
    <row r="109" spans="1:9" x14ac:dyDescent="0.25">
      <c r="A109">
        <v>1154</v>
      </c>
      <c r="B109" t="s">
        <v>241</v>
      </c>
      <c r="C109" t="s">
        <v>240</v>
      </c>
      <c r="D109" t="s">
        <v>231</v>
      </c>
      <c r="E109" t="s">
        <v>102</v>
      </c>
      <c r="F109" t="s">
        <v>73</v>
      </c>
      <c r="G109" s="7">
        <v>4100</v>
      </c>
      <c r="H109" s="6">
        <v>31965</v>
      </c>
      <c r="I109" s="6">
        <v>20400</v>
      </c>
    </row>
    <row r="110" spans="1:9" x14ac:dyDescent="0.25">
      <c r="A110">
        <v>1294</v>
      </c>
      <c r="B110" t="s">
        <v>239</v>
      </c>
      <c r="C110" t="s">
        <v>238</v>
      </c>
      <c r="D110" t="s">
        <v>231</v>
      </c>
      <c r="E110" t="s">
        <v>102</v>
      </c>
      <c r="F110" t="s">
        <v>80</v>
      </c>
      <c r="G110" s="7">
        <v>3200</v>
      </c>
      <c r="H110" s="6">
        <v>30931</v>
      </c>
      <c r="I110" s="6">
        <v>19972</v>
      </c>
    </row>
    <row r="111" spans="1:9" x14ac:dyDescent="0.25">
      <c r="A111">
        <v>1428</v>
      </c>
      <c r="B111" t="s">
        <v>237</v>
      </c>
      <c r="C111" t="s">
        <v>236</v>
      </c>
      <c r="D111" t="s">
        <v>231</v>
      </c>
      <c r="E111" t="s">
        <v>102</v>
      </c>
      <c r="F111" t="s">
        <v>80</v>
      </c>
      <c r="G111" s="7">
        <v>3200</v>
      </c>
      <c r="H111" s="6">
        <v>31728</v>
      </c>
      <c r="I111" s="6">
        <v>21267</v>
      </c>
    </row>
    <row r="112" spans="1:9" x14ac:dyDescent="0.25">
      <c r="A112">
        <v>1814</v>
      </c>
      <c r="B112" t="s">
        <v>224</v>
      </c>
      <c r="C112" t="s">
        <v>235</v>
      </c>
      <c r="D112" t="s">
        <v>231</v>
      </c>
      <c r="E112" t="s">
        <v>102</v>
      </c>
      <c r="F112" t="s">
        <v>80</v>
      </c>
      <c r="G112" s="7">
        <v>3200</v>
      </c>
      <c r="H112" s="6">
        <v>32571</v>
      </c>
      <c r="I112" s="6">
        <v>25432</v>
      </c>
    </row>
    <row r="113" spans="1:9" x14ac:dyDescent="0.25">
      <c r="A113">
        <v>1978</v>
      </c>
      <c r="B113" t="s">
        <v>72</v>
      </c>
      <c r="C113" t="s">
        <v>234</v>
      </c>
      <c r="D113" t="s">
        <v>231</v>
      </c>
      <c r="E113" t="s">
        <v>102</v>
      </c>
      <c r="F113" t="s">
        <v>80</v>
      </c>
      <c r="G113" s="7">
        <v>3200</v>
      </c>
      <c r="H113" s="6">
        <v>29377</v>
      </c>
      <c r="I113" s="6">
        <v>24741</v>
      </c>
    </row>
    <row r="114" spans="1:9" x14ac:dyDescent="0.25">
      <c r="A114">
        <v>1531</v>
      </c>
      <c r="B114" t="s">
        <v>233</v>
      </c>
      <c r="C114" t="s">
        <v>232</v>
      </c>
      <c r="D114" t="s">
        <v>231</v>
      </c>
      <c r="E114" t="s">
        <v>102</v>
      </c>
      <c r="F114" t="s">
        <v>144</v>
      </c>
      <c r="G114" s="7">
        <v>2800</v>
      </c>
      <c r="H114" s="6">
        <v>31543</v>
      </c>
      <c r="I114" s="6">
        <v>24491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1A32-6B7D-4D2F-8507-F7C11CC61A7B}">
  <sheetPr filterMode="1"/>
  <dimension ref="A1:I114"/>
  <sheetViews>
    <sheetView tabSelected="1" workbookViewId="0">
      <selection activeCell="C118" sqref="C118"/>
    </sheetView>
  </sheetViews>
  <sheetFormatPr baseColWidth="10" defaultRowHeight="15" x14ac:dyDescent="0.25"/>
  <sheetData>
    <row r="1" spans="1:9" x14ac:dyDescent="0.25">
      <c r="A1" t="s">
        <v>285</v>
      </c>
      <c r="B1" t="s">
        <v>284</v>
      </c>
      <c r="C1" t="s">
        <v>283</v>
      </c>
      <c r="D1" t="s">
        <v>282</v>
      </c>
      <c r="E1" t="s">
        <v>281</v>
      </c>
      <c r="F1" t="s">
        <v>280</v>
      </c>
      <c r="G1" t="s">
        <v>279</v>
      </c>
      <c r="H1" t="s">
        <v>278</v>
      </c>
      <c r="I1" t="s">
        <v>277</v>
      </c>
    </row>
    <row r="2" spans="1:9" hidden="1" x14ac:dyDescent="0.25">
      <c r="A2">
        <v>1674</v>
      </c>
      <c r="B2" t="s">
        <v>276</v>
      </c>
      <c r="C2" t="s">
        <v>275</v>
      </c>
      <c r="D2" t="s">
        <v>249</v>
      </c>
      <c r="E2" t="s">
        <v>122</v>
      </c>
      <c r="F2" t="s">
        <v>80</v>
      </c>
      <c r="G2" s="7">
        <v>3200</v>
      </c>
      <c r="H2" s="6">
        <v>33688</v>
      </c>
      <c r="I2" s="6">
        <v>23393</v>
      </c>
    </row>
    <row r="3" spans="1:9" hidden="1" x14ac:dyDescent="0.25">
      <c r="A3">
        <v>1516</v>
      </c>
      <c r="B3" t="s">
        <v>274</v>
      </c>
      <c r="C3" t="s">
        <v>273</v>
      </c>
      <c r="D3" t="s">
        <v>249</v>
      </c>
      <c r="E3" t="s">
        <v>122</v>
      </c>
      <c r="F3" t="s">
        <v>80</v>
      </c>
      <c r="G3" s="7">
        <v>4500</v>
      </c>
      <c r="H3" s="6">
        <v>31112</v>
      </c>
      <c r="I3" s="6">
        <v>23188</v>
      </c>
    </row>
    <row r="4" spans="1:9" hidden="1" x14ac:dyDescent="0.25">
      <c r="A4">
        <v>1330</v>
      </c>
      <c r="B4" t="s">
        <v>217</v>
      </c>
      <c r="C4" t="s">
        <v>272</v>
      </c>
      <c r="D4" t="s">
        <v>249</v>
      </c>
      <c r="E4" t="s">
        <v>122</v>
      </c>
      <c r="F4" t="s">
        <v>80</v>
      </c>
      <c r="G4" s="7">
        <v>3200</v>
      </c>
      <c r="H4" s="6">
        <v>32553</v>
      </c>
      <c r="I4" s="6">
        <v>23514</v>
      </c>
    </row>
    <row r="5" spans="1:9" hidden="1" x14ac:dyDescent="0.25">
      <c r="A5">
        <v>1657</v>
      </c>
      <c r="B5" t="s">
        <v>224</v>
      </c>
      <c r="C5" t="s">
        <v>271</v>
      </c>
      <c r="D5" t="s">
        <v>249</v>
      </c>
      <c r="E5" t="s">
        <v>122</v>
      </c>
      <c r="F5" t="s">
        <v>80</v>
      </c>
      <c r="G5" s="7">
        <v>3200</v>
      </c>
      <c r="H5" s="6">
        <v>32117</v>
      </c>
      <c r="I5" s="6">
        <v>23294</v>
      </c>
    </row>
    <row r="6" spans="1:9" hidden="1" x14ac:dyDescent="0.25">
      <c r="A6">
        <v>1573</v>
      </c>
      <c r="B6" t="s">
        <v>270</v>
      </c>
      <c r="C6" t="s">
        <v>269</v>
      </c>
      <c r="D6" t="s">
        <v>249</v>
      </c>
      <c r="E6" t="s">
        <v>122</v>
      </c>
      <c r="F6" t="s">
        <v>101</v>
      </c>
      <c r="G6" s="7">
        <v>1500</v>
      </c>
      <c r="H6" s="6">
        <v>32331</v>
      </c>
      <c r="I6" s="6">
        <v>22067</v>
      </c>
    </row>
    <row r="7" spans="1:9" hidden="1" x14ac:dyDescent="0.25">
      <c r="A7">
        <v>1658</v>
      </c>
      <c r="B7" t="s">
        <v>268</v>
      </c>
      <c r="C7" t="s">
        <v>267</v>
      </c>
      <c r="D7" t="s">
        <v>249</v>
      </c>
      <c r="E7" t="s">
        <v>122</v>
      </c>
      <c r="F7" t="s">
        <v>80</v>
      </c>
      <c r="G7" s="7">
        <v>3200</v>
      </c>
      <c r="H7" s="6">
        <v>32300</v>
      </c>
      <c r="I7" s="6">
        <v>23298</v>
      </c>
    </row>
    <row r="8" spans="1:9" hidden="1" x14ac:dyDescent="0.25">
      <c r="A8">
        <v>1078</v>
      </c>
      <c r="B8" t="s">
        <v>266</v>
      </c>
      <c r="C8" t="s">
        <v>265</v>
      </c>
      <c r="D8" t="s">
        <v>249</v>
      </c>
      <c r="E8" t="s">
        <v>178</v>
      </c>
      <c r="F8" t="s">
        <v>73</v>
      </c>
      <c r="G8" s="7">
        <v>4200</v>
      </c>
      <c r="H8" s="6">
        <v>31503</v>
      </c>
      <c r="I8" s="6">
        <v>22971</v>
      </c>
    </row>
    <row r="9" spans="1:9" hidden="1" x14ac:dyDescent="0.25">
      <c r="A9">
        <v>1695</v>
      </c>
      <c r="B9" t="s">
        <v>264</v>
      </c>
      <c r="C9" t="s">
        <v>263</v>
      </c>
      <c r="D9" t="s">
        <v>249</v>
      </c>
      <c r="E9" t="s">
        <v>178</v>
      </c>
      <c r="F9" t="s">
        <v>80</v>
      </c>
      <c r="G9" s="7">
        <v>3200</v>
      </c>
      <c r="H9" s="6">
        <v>30975</v>
      </c>
      <c r="I9" s="6">
        <v>21920</v>
      </c>
    </row>
    <row r="10" spans="1:9" x14ac:dyDescent="0.25">
      <c r="A10">
        <v>1285</v>
      </c>
      <c r="B10" t="s">
        <v>262</v>
      </c>
      <c r="C10" t="s">
        <v>261</v>
      </c>
      <c r="D10" t="s">
        <v>242</v>
      </c>
      <c r="E10" t="s">
        <v>178</v>
      </c>
      <c r="F10" t="s">
        <v>80</v>
      </c>
      <c r="G10" s="7">
        <v>3200</v>
      </c>
      <c r="H10" s="6">
        <v>31043</v>
      </c>
      <c r="I10" s="6">
        <v>23002</v>
      </c>
    </row>
    <row r="11" spans="1:9" hidden="1" x14ac:dyDescent="0.25">
      <c r="A11">
        <v>1284</v>
      </c>
      <c r="B11" t="s">
        <v>260</v>
      </c>
      <c r="C11" t="s">
        <v>259</v>
      </c>
      <c r="D11" t="s">
        <v>242</v>
      </c>
      <c r="E11" t="s">
        <v>178</v>
      </c>
      <c r="F11" t="s">
        <v>80</v>
      </c>
      <c r="G11" s="7">
        <v>3200</v>
      </c>
      <c r="H11" s="6">
        <v>31051</v>
      </c>
      <c r="I11" s="6">
        <v>22991</v>
      </c>
    </row>
    <row r="12" spans="1:9" hidden="1" x14ac:dyDescent="0.25">
      <c r="A12">
        <v>1517</v>
      </c>
      <c r="B12" t="s">
        <v>258</v>
      </c>
      <c r="C12" t="s">
        <v>257</v>
      </c>
      <c r="D12" t="s">
        <v>242</v>
      </c>
      <c r="E12" t="s">
        <v>178</v>
      </c>
      <c r="F12" t="s">
        <v>101</v>
      </c>
      <c r="G12" s="7">
        <v>1500</v>
      </c>
      <c r="H12" s="6">
        <v>31104</v>
      </c>
      <c r="I12" s="6">
        <v>23199</v>
      </c>
    </row>
    <row r="13" spans="1:9" hidden="1" x14ac:dyDescent="0.25">
      <c r="A13">
        <v>1674</v>
      </c>
      <c r="B13" t="s">
        <v>256</v>
      </c>
      <c r="C13" t="s">
        <v>68</v>
      </c>
      <c r="D13" t="s">
        <v>242</v>
      </c>
      <c r="E13" t="s">
        <v>178</v>
      </c>
      <c r="F13" t="s">
        <v>80</v>
      </c>
      <c r="G13" s="7">
        <v>3200</v>
      </c>
      <c r="H13" s="6">
        <v>32971</v>
      </c>
      <c r="I13" s="6">
        <v>22901</v>
      </c>
    </row>
    <row r="14" spans="1:9" hidden="1" x14ac:dyDescent="0.25">
      <c r="A14">
        <v>1056</v>
      </c>
      <c r="B14" t="s">
        <v>255</v>
      </c>
      <c r="C14" t="s">
        <v>254</v>
      </c>
      <c r="D14" t="s">
        <v>242</v>
      </c>
      <c r="E14" t="s">
        <v>248</v>
      </c>
      <c r="F14" t="s">
        <v>73</v>
      </c>
      <c r="G14" s="7">
        <v>5600</v>
      </c>
      <c r="H14" s="6">
        <v>29153</v>
      </c>
      <c r="I14" s="6">
        <v>13751</v>
      </c>
    </row>
    <row r="15" spans="1:9" x14ac:dyDescent="0.25">
      <c r="A15">
        <v>1977</v>
      </c>
      <c r="B15" t="s">
        <v>253</v>
      </c>
      <c r="C15" t="s">
        <v>252</v>
      </c>
      <c r="D15" t="s">
        <v>249</v>
      </c>
      <c r="E15" t="s">
        <v>248</v>
      </c>
      <c r="F15" t="s">
        <v>80</v>
      </c>
      <c r="G15" s="7">
        <v>4200</v>
      </c>
      <c r="H15" s="6">
        <v>33490</v>
      </c>
      <c r="I15" s="6">
        <v>22202</v>
      </c>
    </row>
    <row r="16" spans="1:9" hidden="1" x14ac:dyDescent="0.25">
      <c r="A16">
        <v>1725</v>
      </c>
      <c r="B16" t="s">
        <v>100</v>
      </c>
      <c r="C16" t="s">
        <v>251</v>
      </c>
      <c r="D16" t="s">
        <v>249</v>
      </c>
      <c r="E16" t="s">
        <v>248</v>
      </c>
      <c r="F16" t="s">
        <v>80</v>
      </c>
      <c r="G16" s="7">
        <v>5600</v>
      </c>
      <c r="H16" s="6">
        <v>28523</v>
      </c>
      <c r="I16" s="6">
        <v>19877</v>
      </c>
    </row>
    <row r="17" spans="1:9" hidden="1" x14ac:dyDescent="0.25">
      <c r="A17">
        <v>1675</v>
      </c>
      <c r="B17" t="s">
        <v>250</v>
      </c>
      <c r="C17" t="s">
        <v>245</v>
      </c>
      <c r="D17" t="s">
        <v>249</v>
      </c>
      <c r="E17" t="s">
        <v>248</v>
      </c>
      <c r="F17" t="s">
        <v>80</v>
      </c>
      <c r="G17" s="7">
        <v>6500</v>
      </c>
      <c r="H17" s="6">
        <v>29885</v>
      </c>
      <c r="I17" s="6">
        <v>25447</v>
      </c>
    </row>
    <row r="18" spans="1:9" hidden="1" x14ac:dyDescent="0.25">
      <c r="A18">
        <v>1968</v>
      </c>
      <c r="B18" t="s">
        <v>72</v>
      </c>
      <c r="C18" t="s">
        <v>81</v>
      </c>
      <c r="D18" t="s">
        <v>242</v>
      </c>
      <c r="E18" t="s">
        <v>248</v>
      </c>
      <c r="F18" t="s">
        <v>80</v>
      </c>
      <c r="G18" s="7">
        <v>3200</v>
      </c>
      <c r="H18" s="6">
        <v>33970</v>
      </c>
      <c r="I18" s="6">
        <v>25342</v>
      </c>
    </row>
    <row r="19" spans="1:9" hidden="1" x14ac:dyDescent="0.25">
      <c r="A19">
        <v>1723</v>
      </c>
      <c r="B19" t="s">
        <v>247</v>
      </c>
      <c r="C19" t="s">
        <v>61</v>
      </c>
      <c r="D19" t="s">
        <v>242</v>
      </c>
      <c r="E19" t="s">
        <v>102</v>
      </c>
      <c r="F19" t="s">
        <v>101</v>
      </c>
      <c r="G19" s="7">
        <v>1350</v>
      </c>
      <c r="H19" s="6">
        <v>33091</v>
      </c>
      <c r="I19" s="6">
        <v>23872</v>
      </c>
    </row>
    <row r="20" spans="1:9" hidden="1" x14ac:dyDescent="0.25">
      <c r="A20">
        <v>1076</v>
      </c>
      <c r="B20" t="s">
        <v>246</v>
      </c>
      <c r="C20" t="s">
        <v>245</v>
      </c>
      <c r="D20" t="s">
        <v>242</v>
      </c>
      <c r="E20" t="s">
        <v>102</v>
      </c>
      <c r="F20" t="s">
        <v>101</v>
      </c>
      <c r="G20" s="7">
        <v>1200</v>
      </c>
      <c r="H20" s="6">
        <v>29066</v>
      </c>
      <c r="I20" s="6">
        <v>14862</v>
      </c>
    </row>
    <row r="21" spans="1:9" hidden="1" x14ac:dyDescent="0.25">
      <c r="A21">
        <v>1816</v>
      </c>
      <c r="B21" t="s">
        <v>244</v>
      </c>
      <c r="C21" t="s">
        <v>243</v>
      </c>
      <c r="D21" t="s">
        <v>242</v>
      </c>
      <c r="E21" t="s">
        <v>102</v>
      </c>
      <c r="F21" t="s">
        <v>101</v>
      </c>
      <c r="G21" s="7">
        <v>1600</v>
      </c>
      <c r="H21" s="6">
        <v>33062</v>
      </c>
      <c r="I21" s="6">
        <v>25447</v>
      </c>
    </row>
    <row r="22" spans="1:9" hidden="1" x14ac:dyDescent="0.25">
      <c r="A22">
        <v>1154</v>
      </c>
      <c r="B22" t="s">
        <v>241</v>
      </c>
      <c r="C22" t="s">
        <v>240</v>
      </c>
      <c r="D22" t="s">
        <v>231</v>
      </c>
      <c r="E22" t="s">
        <v>102</v>
      </c>
      <c r="F22" t="s">
        <v>73</v>
      </c>
      <c r="G22" s="7">
        <v>4100</v>
      </c>
      <c r="H22" s="6">
        <v>31965</v>
      </c>
      <c r="I22" s="6">
        <v>20400</v>
      </c>
    </row>
    <row r="23" spans="1:9" x14ac:dyDescent="0.25">
      <c r="A23">
        <v>1294</v>
      </c>
      <c r="B23" t="s">
        <v>239</v>
      </c>
      <c r="C23" t="s">
        <v>238</v>
      </c>
      <c r="D23" t="s">
        <v>231</v>
      </c>
      <c r="E23" t="s">
        <v>102</v>
      </c>
      <c r="F23" t="s">
        <v>80</v>
      </c>
      <c r="G23" s="7">
        <v>3200</v>
      </c>
      <c r="H23" s="6">
        <v>30931</v>
      </c>
      <c r="I23" s="6">
        <v>19972</v>
      </c>
    </row>
    <row r="24" spans="1:9" hidden="1" x14ac:dyDescent="0.25">
      <c r="A24">
        <v>1428</v>
      </c>
      <c r="B24" t="s">
        <v>237</v>
      </c>
      <c r="C24" t="s">
        <v>236</v>
      </c>
      <c r="D24" t="s">
        <v>231</v>
      </c>
      <c r="E24" t="s">
        <v>102</v>
      </c>
      <c r="F24" t="s">
        <v>80</v>
      </c>
      <c r="G24" s="7">
        <v>3200</v>
      </c>
      <c r="H24" s="6">
        <v>31728</v>
      </c>
      <c r="I24" s="6">
        <v>21267</v>
      </c>
    </row>
    <row r="25" spans="1:9" hidden="1" x14ac:dyDescent="0.25">
      <c r="A25">
        <v>1814</v>
      </c>
      <c r="B25" t="s">
        <v>224</v>
      </c>
      <c r="C25" t="s">
        <v>235</v>
      </c>
      <c r="D25" t="s">
        <v>231</v>
      </c>
      <c r="E25" t="s">
        <v>102</v>
      </c>
      <c r="F25" t="s">
        <v>80</v>
      </c>
      <c r="G25" s="7">
        <v>3200</v>
      </c>
      <c r="H25" s="6">
        <v>32571</v>
      </c>
      <c r="I25" s="6">
        <v>25432</v>
      </c>
    </row>
    <row r="26" spans="1:9" hidden="1" x14ac:dyDescent="0.25">
      <c r="A26">
        <v>1978</v>
      </c>
      <c r="B26" t="s">
        <v>72</v>
      </c>
      <c r="C26" t="s">
        <v>234</v>
      </c>
      <c r="D26" t="s">
        <v>231</v>
      </c>
      <c r="E26" t="s">
        <v>102</v>
      </c>
      <c r="F26" t="s">
        <v>80</v>
      </c>
      <c r="G26" s="7">
        <v>3200</v>
      </c>
      <c r="H26" s="6">
        <v>29377</v>
      </c>
      <c r="I26" s="6">
        <v>24741</v>
      </c>
    </row>
    <row r="27" spans="1:9" hidden="1" x14ac:dyDescent="0.25">
      <c r="A27">
        <v>1531</v>
      </c>
      <c r="B27" t="s">
        <v>233</v>
      </c>
      <c r="C27" t="s">
        <v>232</v>
      </c>
      <c r="D27" t="s">
        <v>231</v>
      </c>
      <c r="E27" t="s">
        <v>102</v>
      </c>
      <c r="F27" t="s">
        <v>144</v>
      </c>
      <c r="G27" s="7">
        <v>2800</v>
      </c>
      <c r="H27" s="6">
        <v>31543</v>
      </c>
      <c r="I27" s="6">
        <v>24491</v>
      </c>
    </row>
    <row r="28" spans="1:9" hidden="1" x14ac:dyDescent="0.25">
      <c r="A28">
        <v>1931</v>
      </c>
      <c r="B28" t="s">
        <v>99</v>
      </c>
      <c r="C28" t="s">
        <v>214</v>
      </c>
      <c r="D28" t="s">
        <v>200</v>
      </c>
      <c r="E28" t="s">
        <v>122</v>
      </c>
      <c r="F28" t="s">
        <v>73</v>
      </c>
      <c r="G28" s="7">
        <v>2560</v>
      </c>
      <c r="H28" s="6">
        <v>32679</v>
      </c>
      <c r="I28" s="6">
        <v>25351</v>
      </c>
    </row>
    <row r="29" spans="1:9" hidden="1" x14ac:dyDescent="0.25">
      <c r="A29">
        <v>1932</v>
      </c>
      <c r="B29" t="s">
        <v>230</v>
      </c>
      <c r="C29" t="s">
        <v>225</v>
      </c>
      <c r="D29" t="s">
        <v>200</v>
      </c>
      <c r="E29" t="s">
        <v>122</v>
      </c>
      <c r="F29" t="s">
        <v>73</v>
      </c>
      <c r="G29" s="7">
        <v>2400</v>
      </c>
      <c r="H29" s="6">
        <v>32671</v>
      </c>
      <c r="I29" s="6">
        <v>18057</v>
      </c>
    </row>
    <row r="30" spans="1:9" hidden="1" x14ac:dyDescent="0.25">
      <c r="A30">
        <v>1291</v>
      </c>
      <c r="B30" t="s">
        <v>148</v>
      </c>
      <c r="C30" t="s">
        <v>229</v>
      </c>
      <c r="D30" t="s">
        <v>200</v>
      </c>
      <c r="E30" t="s">
        <v>122</v>
      </c>
      <c r="F30" t="s">
        <v>101</v>
      </c>
      <c r="G30" s="7">
        <v>1350</v>
      </c>
      <c r="H30" s="6">
        <v>31042</v>
      </c>
      <c r="I30" s="6">
        <v>20559</v>
      </c>
    </row>
    <row r="31" spans="1:9" hidden="1" x14ac:dyDescent="0.25">
      <c r="A31">
        <v>1530</v>
      </c>
      <c r="B31" t="s">
        <v>228</v>
      </c>
      <c r="C31" t="s">
        <v>227</v>
      </c>
      <c r="D31" t="s">
        <v>200</v>
      </c>
      <c r="E31" t="s">
        <v>122</v>
      </c>
      <c r="F31" t="s">
        <v>80</v>
      </c>
      <c r="G31" s="7">
        <v>1460</v>
      </c>
      <c r="H31" s="6">
        <v>33258</v>
      </c>
      <c r="I31" s="6">
        <v>24487</v>
      </c>
    </row>
    <row r="32" spans="1:9" hidden="1" x14ac:dyDescent="0.25">
      <c r="A32">
        <v>1152</v>
      </c>
      <c r="B32" t="s">
        <v>167</v>
      </c>
      <c r="C32" t="s">
        <v>226</v>
      </c>
      <c r="D32" t="s">
        <v>200</v>
      </c>
      <c r="E32" t="s">
        <v>122</v>
      </c>
      <c r="F32" t="s">
        <v>80</v>
      </c>
      <c r="G32" s="7">
        <v>1350</v>
      </c>
      <c r="H32" s="6">
        <v>32894</v>
      </c>
      <c r="I32" s="6">
        <v>24038</v>
      </c>
    </row>
    <row r="33" spans="1:9" hidden="1" x14ac:dyDescent="0.25">
      <c r="A33">
        <v>1079</v>
      </c>
      <c r="B33" t="s">
        <v>105</v>
      </c>
      <c r="C33" t="s">
        <v>225</v>
      </c>
      <c r="D33" t="s">
        <v>200</v>
      </c>
      <c r="E33" t="s">
        <v>122</v>
      </c>
      <c r="F33" t="s">
        <v>80</v>
      </c>
      <c r="G33" s="7">
        <v>1350</v>
      </c>
      <c r="H33" s="6">
        <v>31495</v>
      </c>
      <c r="I33" s="6">
        <v>22982</v>
      </c>
    </row>
    <row r="34" spans="1:9" hidden="1" x14ac:dyDescent="0.25">
      <c r="A34">
        <v>1676</v>
      </c>
      <c r="B34" t="s">
        <v>224</v>
      </c>
      <c r="C34" t="s">
        <v>223</v>
      </c>
      <c r="D34" t="s">
        <v>200</v>
      </c>
      <c r="E34" t="s">
        <v>122</v>
      </c>
      <c r="F34" t="s">
        <v>80</v>
      </c>
      <c r="G34" s="7">
        <v>1500</v>
      </c>
      <c r="H34" s="6">
        <v>29877</v>
      </c>
      <c r="I34" s="6">
        <v>25458</v>
      </c>
    </row>
    <row r="35" spans="1:9" hidden="1" x14ac:dyDescent="0.25">
      <c r="A35">
        <v>1290</v>
      </c>
      <c r="B35" t="s">
        <v>222</v>
      </c>
      <c r="C35" t="s">
        <v>221</v>
      </c>
      <c r="D35" t="s">
        <v>200</v>
      </c>
      <c r="E35" t="s">
        <v>122</v>
      </c>
      <c r="F35" t="s">
        <v>80</v>
      </c>
      <c r="G35" s="7">
        <v>1350</v>
      </c>
      <c r="H35" s="6">
        <v>31050</v>
      </c>
      <c r="I35" s="6">
        <v>24200</v>
      </c>
    </row>
    <row r="36" spans="1:9" hidden="1" x14ac:dyDescent="0.25">
      <c r="A36">
        <v>1961</v>
      </c>
      <c r="B36" t="s">
        <v>69</v>
      </c>
      <c r="C36" t="s">
        <v>134</v>
      </c>
      <c r="D36" t="s">
        <v>200</v>
      </c>
      <c r="E36" t="s">
        <v>122</v>
      </c>
      <c r="F36" t="s">
        <v>80</v>
      </c>
      <c r="G36" s="7">
        <v>1350</v>
      </c>
      <c r="H36" s="6">
        <v>31721</v>
      </c>
      <c r="I36" s="6">
        <v>23834</v>
      </c>
    </row>
    <row r="37" spans="1:9" hidden="1" x14ac:dyDescent="0.25">
      <c r="A37">
        <v>1675</v>
      </c>
      <c r="B37" t="s">
        <v>220</v>
      </c>
      <c r="C37" t="s">
        <v>219</v>
      </c>
      <c r="D37" t="s">
        <v>200</v>
      </c>
      <c r="E37" t="s">
        <v>122</v>
      </c>
      <c r="F37" t="s">
        <v>80</v>
      </c>
      <c r="G37" s="7">
        <v>1350</v>
      </c>
      <c r="H37" s="6">
        <v>33680</v>
      </c>
      <c r="I37" s="6">
        <v>23404</v>
      </c>
    </row>
    <row r="38" spans="1:9" hidden="1" x14ac:dyDescent="0.25">
      <c r="A38">
        <v>1368</v>
      </c>
      <c r="B38" t="s">
        <v>159</v>
      </c>
      <c r="C38" t="s">
        <v>218</v>
      </c>
      <c r="D38" t="s">
        <v>200</v>
      </c>
      <c r="E38" t="s">
        <v>122</v>
      </c>
      <c r="F38" t="s">
        <v>80</v>
      </c>
      <c r="G38" s="7">
        <v>1280</v>
      </c>
      <c r="H38" s="6">
        <v>30386</v>
      </c>
      <c r="I38" s="6">
        <v>21678</v>
      </c>
    </row>
    <row r="39" spans="1:9" hidden="1" x14ac:dyDescent="0.25">
      <c r="A39">
        <v>1153</v>
      </c>
      <c r="B39" t="s">
        <v>217</v>
      </c>
      <c r="C39" t="s">
        <v>216</v>
      </c>
      <c r="D39" t="s">
        <v>200</v>
      </c>
      <c r="E39" t="s">
        <v>122</v>
      </c>
      <c r="F39" t="s">
        <v>144</v>
      </c>
      <c r="G39" s="7">
        <v>1350</v>
      </c>
      <c r="H39" s="6">
        <v>32886</v>
      </c>
      <c r="I39" s="6">
        <v>24049</v>
      </c>
    </row>
    <row r="40" spans="1:9" hidden="1" x14ac:dyDescent="0.25">
      <c r="A40">
        <v>1960</v>
      </c>
      <c r="B40" t="s">
        <v>215</v>
      </c>
      <c r="C40" t="s">
        <v>214</v>
      </c>
      <c r="D40" t="s">
        <v>200</v>
      </c>
      <c r="E40" t="s">
        <v>122</v>
      </c>
      <c r="F40" t="s">
        <v>101</v>
      </c>
      <c r="G40" s="7">
        <v>1350</v>
      </c>
      <c r="H40" s="6">
        <v>31729</v>
      </c>
      <c r="I40" s="6">
        <v>23823</v>
      </c>
    </row>
    <row r="41" spans="1:9" hidden="1" x14ac:dyDescent="0.25">
      <c r="A41">
        <v>1908</v>
      </c>
      <c r="B41" t="s">
        <v>213</v>
      </c>
      <c r="C41" t="s">
        <v>212</v>
      </c>
      <c r="D41" t="s">
        <v>200</v>
      </c>
      <c r="E41" t="s">
        <v>122</v>
      </c>
      <c r="F41" t="s">
        <v>73</v>
      </c>
      <c r="G41" s="7">
        <v>5600</v>
      </c>
      <c r="H41" s="6">
        <v>30817</v>
      </c>
      <c r="I41" s="6">
        <v>21449</v>
      </c>
    </row>
    <row r="42" spans="1:9" hidden="1" x14ac:dyDescent="0.25">
      <c r="A42">
        <v>1011</v>
      </c>
      <c r="B42" t="s">
        <v>211</v>
      </c>
      <c r="C42" t="s">
        <v>183</v>
      </c>
      <c r="D42" t="s">
        <v>200</v>
      </c>
      <c r="E42" t="s">
        <v>122</v>
      </c>
      <c r="F42" t="s">
        <v>80</v>
      </c>
      <c r="G42" s="7">
        <v>2700</v>
      </c>
      <c r="H42" s="6">
        <v>31446</v>
      </c>
      <c r="I42" s="6">
        <v>23702</v>
      </c>
    </row>
    <row r="43" spans="1:9" hidden="1" x14ac:dyDescent="0.25">
      <c r="A43">
        <v>1359</v>
      </c>
      <c r="B43" t="s">
        <v>210</v>
      </c>
      <c r="C43" t="s">
        <v>209</v>
      </c>
      <c r="D43" t="s">
        <v>200</v>
      </c>
      <c r="E43" t="s">
        <v>178</v>
      </c>
      <c r="F43" t="s">
        <v>80</v>
      </c>
      <c r="G43" s="7">
        <v>2300</v>
      </c>
      <c r="H43" s="6">
        <v>33094</v>
      </c>
      <c r="I43" s="6">
        <v>22074</v>
      </c>
    </row>
    <row r="44" spans="1:9" hidden="1" x14ac:dyDescent="0.25">
      <c r="A44">
        <v>1724</v>
      </c>
      <c r="B44" t="s">
        <v>208</v>
      </c>
      <c r="C44" t="s">
        <v>207</v>
      </c>
      <c r="D44" t="s">
        <v>200</v>
      </c>
      <c r="E44" t="s">
        <v>178</v>
      </c>
      <c r="F44" t="s">
        <v>80</v>
      </c>
      <c r="G44" s="7">
        <v>2300</v>
      </c>
      <c r="H44" s="6">
        <v>28531</v>
      </c>
      <c r="I44" s="6">
        <v>19866</v>
      </c>
    </row>
    <row r="45" spans="1:9" hidden="1" x14ac:dyDescent="0.25">
      <c r="A45">
        <v>1923</v>
      </c>
      <c r="B45" t="s">
        <v>206</v>
      </c>
      <c r="C45" t="s">
        <v>205</v>
      </c>
      <c r="D45" t="s">
        <v>200</v>
      </c>
      <c r="E45" t="s">
        <v>178</v>
      </c>
      <c r="F45" t="s">
        <v>80</v>
      </c>
      <c r="G45" s="7">
        <v>2300</v>
      </c>
      <c r="H45" s="6">
        <v>31743</v>
      </c>
      <c r="I45" s="6">
        <v>22347</v>
      </c>
    </row>
    <row r="46" spans="1:9" hidden="1" x14ac:dyDescent="0.25">
      <c r="A46">
        <v>1794</v>
      </c>
      <c r="B46" t="s">
        <v>204</v>
      </c>
      <c r="C46" t="s">
        <v>203</v>
      </c>
      <c r="D46" t="s">
        <v>200</v>
      </c>
      <c r="E46" t="s">
        <v>178</v>
      </c>
      <c r="F46" t="s">
        <v>80</v>
      </c>
      <c r="G46" s="7">
        <v>2300</v>
      </c>
      <c r="H46" s="6">
        <v>31034</v>
      </c>
      <c r="I46" s="6">
        <v>25129</v>
      </c>
    </row>
    <row r="47" spans="1:9" hidden="1" x14ac:dyDescent="0.25">
      <c r="A47">
        <v>1558</v>
      </c>
      <c r="B47" t="s">
        <v>202</v>
      </c>
      <c r="C47" t="s">
        <v>201</v>
      </c>
      <c r="D47" t="s">
        <v>200</v>
      </c>
      <c r="E47" t="s">
        <v>178</v>
      </c>
      <c r="F47" t="s">
        <v>80</v>
      </c>
      <c r="G47" s="7">
        <v>2300</v>
      </c>
      <c r="H47" s="6">
        <v>30240</v>
      </c>
      <c r="I47" s="6">
        <v>24011</v>
      </c>
    </row>
    <row r="48" spans="1:9" hidden="1" x14ac:dyDescent="0.25">
      <c r="A48">
        <v>1949</v>
      </c>
      <c r="B48" t="s">
        <v>199</v>
      </c>
      <c r="C48" t="s">
        <v>198</v>
      </c>
      <c r="D48" t="s">
        <v>165</v>
      </c>
      <c r="E48" t="s">
        <v>178</v>
      </c>
      <c r="F48" t="s">
        <v>80</v>
      </c>
      <c r="G48" s="7">
        <v>4100</v>
      </c>
      <c r="H48" s="6">
        <v>29871</v>
      </c>
      <c r="I48" s="6">
        <v>18685</v>
      </c>
    </row>
    <row r="49" spans="1:9" hidden="1" x14ac:dyDescent="0.25">
      <c r="A49">
        <v>1311</v>
      </c>
      <c r="B49" t="s">
        <v>197</v>
      </c>
      <c r="C49" t="s">
        <v>196</v>
      </c>
      <c r="D49" t="s">
        <v>165</v>
      </c>
      <c r="E49" t="s">
        <v>178</v>
      </c>
      <c r="F49" t="s">
        <v>80</v>
      </c>
      <c r="G49" s="7">
        <v>3800</v>
      </c>
      <c r="H49" s="6">
        <v>31681</v>
      </c>
      <c r="I49" s="6">
        <v>23694</v>
      </c>
    </row>
    <row r="50" spans="1:9" hidden="1" x14ac:dyDescent="0.25">
      <c r="A50">
        <v>1906</v>
      </c>
      <c r="B50" t="s">
        <v>195</v>
      </c>
      <c r="C50" t="s">
        <v>194</v>
      </c>
      <c r="D50" t="s">
        <v>165</v>
      </c>
      <c r="E50" t="s">
        <v>178</v>
      </c>
      <c r="F50" t="s">
        <v>101</v>
      </c>
      <c r="G50" s="7">
        <v>1350</v>
      </c>
      <c r="H50" s="6">
        <v>32779</v>
      </c>
      <c r="I50" s="6">
        <v>22161</v>
      </c>
    </row>
    <row r="51" spans="1:9" hidden="1" x14ac:dyDescent="0.25">
      <c r="A51">
        <v>1656</v>
      </c>
      <c r="B51" t="s">
        <v>99</v>
      </c>
      <c r="C51" t="s">
        <v>193</v>
      </c>
      <c r="D51" t="s">
        <v>165</v>
      </c>
      <c r="E51" t="s">
        <v>178</v>
      </c>
      <c r="F51" t="s">
        <v>73</v>
      </c>
      <c r="G51" s="7">
        <v>2500</v>
      </c>
      <c r="H51" s="6">
        <v>32125</v>
      </c>
      <c r="I51" s="6">
        <v>23283</v>
      </c>
    </row>
    <row r="52" spans="1:9" hidden="1" x14ac:dyDescent="0.25">
      <c r="A52">
        <v>1907</v>
      </c>
      <c r="B52" t="s">
        <v>192</v>
      </c>
      <c r="C52" t="s">
        <v>191</v>
      </c>
      <c r="D52" t="s">
        <v>165</v>
      </c>
      <c r="E52" t="s">
        <v>178</v>
      </c>
      <c r="F52" t="s">
        <v>73</v>
      </c>
      <c r="G52" s="7">
        <v>2600</v>
      </c>
      <c r="H52" s="6">
        <v>32771</v>
      </c>
      <c r="I52" s="6">
        <v>22172</v>
      </c>
    </row>
    <row r="53" spans="1:9" hidden="1" x14ac:dyDescent="0.25">
      <c r="A53">
        <v>1724</v>
      </c>
      <c r="B53" t="s">
        <v>190</v>
      </c>
      <c r="C53" t="s">
        <v>189</v>
      </c>
      <c r="D53" t="s">
        <v>165</v>
      </c>
      <c r="E53" t="s">
        <v>178</v>
      </c>
      <c r="F53" t="s">
        <v>73</v>
      </c>
      <c r="G53" s="7">
        <v>2960</v>
      </c>
      <c r="H53" s="6">
        <v>33083</v>
      </c>
      <c r="I53" s="6">
        <v>23883</v>
      </c>
    </row>
    <row r="54" spans="1:9" hidden="1" x14ac:dyDescent="0.25">
      <c r="A54">
        <v>1301</v>
      </c>
      <c r="B54" t="s">
        <v>188</v>
      </c>
      <c r="C54" t="s">
        <v>187</v>
      </c>
      <c r="D54" t="s">
        <v>165</v>
      </c>
      <c r="E54" t="s">
        <v>178</v>
      </c>
      <c r="F54" t="s">
        <v>101</v>
      </c>
      <c r="G54" s="7">
        <v>1350</v>
      </c>
      <c r="H54" s="6">
        <v>30900</v>
      </c>
      <c r="I54" s="6">
        <v>23918</v>
      </c>
    </row>
    <row r="55" spans="1:9" x14ac:dyDescent="0.25">
      <c r="A55">
        <v>1292</v>
      </c>
      <c r="B55" t="s">
        <v>186</v>
      </c>
      <c r="C55" t="s">
        <v>185</v>
      </c>
      <c r="D55" t="s">
        <v>165</v>
      </c>
      <c r="E55" t="s">
        <v>178</v>
      </c>
      <c r="F55" t="s">
        <v>73</v>
      </c>
      <c r="G55" s="7">
        <v>4350</v>
      </c>
      <c r="H55" s="6">
        <v>32101</v>
      </c>
      <c r="I55" s="6">
        <v>20563</v>
      </c>
    </row>
    <row r="56" spans="1:9" hidden="1" x14ac:dyDescent="0.25">
      <c r="A56">
        <v>1167</v>
      </c>
      <c r="B56" t="s">
        <v>99</v>
      </c>
      <c r="C56" t="s">
        <v>55</v>
      </c>
      <c r="D56" t="s">
        <v>165</v>
      </c>
      <c r="E56" t="s">
        <v>178</v>
      </c>
      <c r="F56" t="s">
        <v>73</v>
      </c>
      <c r="G56" s="7">
        <v>5600</v>
      </c>
      <c r="H56" s="6">
        <v>33346</v>
      </c>
      <c r="I56" s="6">
        <v>25746</v>
      </c>
    </row>
    <row r="57" spans="1:9" hidden="1" x14ac:dyDescent="0.25">
      <c r="A57">
        <v>1950</v>
      </c>
      <c r="B57" t="s">
        <v>184</v>
      </c>
      <c r="C57" t="s">
        <v>183</v>
      </c>
      <c r="D57" t="s">
        <v>165</v>
      </c>
      <c r="E57" t="s">
        <v>178</v>
      </c>
      <c r="F57" t="s">
        <v>80</v>
      </c>
      <c r="G57" s="7">
        <v>4900</v>
      </c>
      <c r="H57" s="6">
        <v>29863</v>
      </c>
      <c r="I57" s="6">
        <v>18696</v>
      </c>
    </row>
    <row r="58" spans="1:9" hidden="1" x14ac:dyDescent="0.25">
      <c r="A58">
        <v>1792</v>
      </c>
      <c r="B58" t="s">
        <v>99</v>
      </c>
      <c r="C58" t="s">
        <v>149</v>
      </c>
      <c r="D58" t="s">
        <v>165</v>
      </c>
      <c r="E58" t="s">
        <v>178</v>
      </c>
      <c r="F58" t="s">
        <v>144</v>
      </c>
      <c r="G58" s="7">
        <v>2000</v>
      </c>
      <c r="H58" s="6">
        <v>33231</v>
      </c>
      <c r="I58" s="6">
        <v>25114</v>
      </c>
    </row>
    <row r="59" spans="1:9" hidden="1" x14ac:dyDescent="0.25">
      <c r="A59">
        <v>1977</v>
      </c>
      <c r="B59" t="s">
        <v>182</v>
      </c>
      <c r="C59" t="s">
        <v>181</v>
      </c>
      <c r="D59" t="s">
        <v>165</v>
      </c>
      <c r="E59" t="s">
        <v>178</v>
      </c>
      <c r="F59" t="s">
        <v>144</v>
      </c>
      <c r="G59" s="7">
        <v>1300</v>
      </c>
      <c r="H59" s="6">
        <v>29385</v>
      </c>
      <c r="I59" s="6">
        <v>24730</v>
      </c>
    </row>
    <row r="60" spans="1:9" hidden="1" x14ac:dyDescent="0.25">
      <c r="A60">
        <v>1067</v>
      </c>
      <c r="B60" t="s">
        <v>180</v>
      </c>
      <c r="C60" t="s">
        <v>179</v>
      </c>
      <c r="D60" t="s">
        <v>165</v>
      </c>
      <c r="E60" t="s">
        <v>178</v>
      </c>
      <c r="F60" t="s">
        <v>144</v>
      </c>
      <c r="G60" s="7">
        <v>1100</v>
      </c>
      <c r="H60" s="6">
        <v>32040</v>
      </c>
      <c r="I60" s="6">
        <v>22554</v>
      </c>
    </row>
    <row r="61" spans="1:9" hidden="1" x14ac:dyDescent="0.25">
      <c r="A61">
        <v>1976</v>
      </c>
      <c r="B61" t="s">
        <v>69</v>
      </c>
      <c r="C61" t="s">
        <v>177</v>
      </c>
      <c r="D61" t="s">
        <v>165</v>
      </c>
      <c r="E61" t="s">
        <v>102</v>
      </c>
      <c r="F61" t="s">
        <v>101</v>
      </c>
      <c r="G61" s="7">
        <v>1350</v>
      </c>
      <c r="H61" s="6">
        <v>33357</v>
      </c>
      <c r="I61" s="6">
        <v>25850</v>
      </c>
    </row>
    <row r="62" spans="1:9" hidden="1" x14ac:dyDescent="0.25">
      <c r="A62">
        <v>1168</v>
      </c>
      <c r="B62" t="s">
        <v>176</v>
      </c>
      <c r="C62" t="s">
        <v>175</v>
      </c>
      <c r="D62" t="s">
        <v>165</v>
      </c>
      <c r="E62" t="s">
        <v>102</v>
      </c>
      <c r="F62" t="s">
        <v>101</v>
      </c>
      <c r="G62" s="7">
        <v>1350</v>
      </c>
      <c r="H62" s="6">
        <v>33338</v>
      </c>
      <c r="I62" s="6">
        <v>25757</v>
      </c>
    </row>
    <row r="63" spans="1:9" hidden="1" x14ac:dyDescent="0.25">
      <c r="A63">
        <v>1815</v>
      </c>
      <c r="B63" t="s">
        <v>174</v>
      </c>
      <c r="C63" t="s">
        <v>173</v>
      </c>
      <c r="D63" t="s">
        <v>165</v>
      </c>
      <c r="E63" t="s">
        <v>102</v>
      </c>
      <c r="F63" t="s">
        <v>73</v>
      </c>
      <c r="G63" s="7">
        <v>5600</v>
      </c>
      <c r="H63" s="6">
        <v>29276</v>
      </c>
      <c r="I63" s="6">
        <v>21790</v>
      </c>
    </row>
    <row r="64" spans="1:9" hidden="1" x14ac:dyDescent="0.25">
      <c r="A64">
        <v>1068</v>
      </c>
      <c r="B64" t="s">
        <v>172</v>
      </c>
      <c r="C64" t="s">
        <v>142</v>
      </c>
      <c r="D64" t="s">
        <v>165</v>
      </c>
      <c r="E64" t="s">
        <v>102</v>
      </c>
      <c r="F64" t="s">
        <v>80</v>
      </c>
      <c r="G64" s="7">
        <v>3200</v>
      </c>
      <c r="H64" s="6">
        <v>32032</v>
      </c>
      <c r="I64" s="6">
        <v>22565</v>
      </c>
    </row>
    <row r="65" spans="1:9" hidden="1" x14ac:dyDescent="0.25">
      <c r="A65">
        <v>1012</v>
      </c>
      <c r="B65" t="s">
        <v>171</v>
      </c>
      <c r="C65" t="s">
        <v>170</v>
      </c>
      <c r="D65" t="s">
        <v>165</v>
      </c>
      <c r="E65" t="s">
        <v>102</v>
      </c>
      <c r="F65" t="s">
        <v>80</v>
      </c>
      <c r="G65" s="7">
        <v>2400</v>
      </c>
      <c r="H65" s="6">
        <v>31438</v>
      </c>
      <c r="I65" s="6">
        <v>23713</v>
      </c>
    </row>
    <row r="66" spans="1:9" hidden="1" x14ac:dyDescent="0.25">
      <c r="A66">
        <v>1301</v>
      </c>
      <c r="B66" t="s">
        <v>169</v>
      </c>
      <c r="C66" t="s">
        <v>168</v>
      </c>
      <c r="D66" t="s">
        <v>165</v>
      </c>
      <c r="E66" t="s">
        <v>102</v>
      </c>
      <c r="F66" t="s">
        <v>80</v>
      </c>
      <c r="G66" s="7">
        <v>3200</v>
      </c>
      <c r="H66" s="6">
        <v>31421</v>
      </c>
      <c r="I66" s="6">
        <v>20360</v>
      </c>
    </row>
    <row r="67" spans="1:9" hidden="1" x14ac:dyDescent="0.25">
      <c r="A67">
        <v>1556</v>
      </c>
      <c r="B67" t="s">
        <v>167</v>
      </c>
      <c r="C67" t="s">
        <v>166</v>
      </c>
      <c r="D67" t="s">
        <v>165</v>
      </c>
      <c r="E67" t="s">
        <v>102</v>
      </c>
      <c r="F67" t="s">
        <v>80</v>
      </c>
      <c r="G67" s="7">
        <v>3200</v>
      </c>
      <c r="H67" s="6">
        <v>29916</v>
      </c>
      <c r="I67" s="6">
        <v>23996</v>
      </c>
    </row>
    <row r="68" spans="1:9" x14ac:dyDescent="0.25">
      <c r="A68">
        <v>1933</v>
      </c>
      <c r="B68" t="s">
        <v>164</v>
      </c>
      <c r="C68" t="s">
        <v>94</v>
      </c>
      <c r="D68" t="s">
        <v>139</v>
      </c>
      <c r="E68" t="s">
        <v>102</v>
      </c>
      <c r="F68" t="s">
        <v>80</v>
      </c>
      <c r="G68" s="7">
        <v>3200</v>
      </c>
      <c r="H68" s="6">
        <v>30689</v>
      </c>
      <c r="I68" s="6">
        <v>18061</v>
      </c>
    </row>
    <row r="69" spans="1:9" hidden="1" x14ac:dyDescent="0.25">
      <c r="A69">
        <v>1333</v>
      </c>
      <c r="B69" t="s">
        <v>75</v>
      </c>
      <c r="C69" t="s">
        <v>163</v>
      </c>
      <c r="D69" t="s">
        <v>139</v>
      </c>
      <c r="E69" t="s">
        <v>102</v>
      </c>
      <c r="F69" t="s">
        <v>80</v>
      </c>
      <c r="G69" s="7">
        <v>3200</v>
      </c>
      <c r="H69" s="6">
        <v>32979</v>
      </c>
      <c r="I69" s="6">
        <v>24022</v>
      </c>
    </row>
    <row r="70" spans="1:9" hidden="1" x14ac:dyDescent="0.25">
      <c r="A70">
        <v>1510</v>
      </c>
      <c r="B70" t="s">
        <v>133</v>
      </c>
      <c r="C70" t="s">
        <v>162</v>
      </c>
      <c r="D70" t="s">
        <v>139</v>
      </c>
      <c r="E70" t="s">
        <v>102</v>
      </c>
      <c r="F70" t="s">
        <v>80</v>
      </c>
      <c r="G70" s="7">
        <v>4800</v>
      </c>
      <c r="H70" s="6">
        <v>31209</v>
      </c>
      <c r="I70" s="6">
        <v>22954</v>
      </c>
    </row>
    <row r="71" spans="1:9" hidden="1" x14ac:dyDescent="0.25">
      <c r="A71">
        <v>1574</v>
      </c>
      <c r="B71" t="s">
        <v>161</v>
      </c>
      <c r="C71" t="s">
        <v>160</v>
      </c>
      <c r="D71" t="s">
        <v>139</v>
      </c>
      <c r="E71" t="s">
        <v>102</v>
      </c>
      <c r="F71" t="s">
        <v>80</v>
      </c>
      <c r="G71" s="7">
        <v>3200</v>
      </c>
      <c r="H71" s="6">
        <v>31452</v>
      </c>
      <c r="I71" s="6">
        <v>22071</v>
      </c>
    </row>
    <row r="72" spans="1:9" hidden="1" x14ac:dyDescent="0.25">
      <c r="A72">
        <v>1360</v>
      </c>
      <c r="B72" t="s">
        <v>159</v>
      </c>
      <c r="C72" t="s">
        <v>158</v>
      </c>
      <c r="D72" t="s">
        <v>139</v>
      </c>
      <c r="E72" t="s">
        <v>102</v>
      </c>
      <c r="F72" t="s">
        <v>80</v>
      </c>
      <c r="G72" s="7">
        <v>4000</v>
      </c>
      <c r="H72" s="6">
        <v>32356</v>
      </c>
      <c r="I72" s="6">
        <v>22085</v>
      </c>
    </row>
    <row r="73" spans="1:9" hidden="1" x14ac:dyDescent="0.25">
      <c r="A73">
        <v>1293</v>
      </c>
      <c r="B73" t="s">
        <v>157</v>
      </c>
      <c r="C73" t="s">
        <v>156</v>
      </c>
      <c r="D73" t="s">
        <v>139</v>
      </c>
      <c r="E73" t="s">
        <v>102</v>
      </c>
      <c r="F73" t="s">
        <v>144</v>
      </c>
      <c r="G73" s="7">
        <v>1700</v>
      </c>
      <c r="H73" s="6">
        <v>30939</v>
      </c>
      <c r="I73" s="6">
        <v>19961</v>
      </c>
    </row>
    <row r="74" spans="1:9" hidden="1" x14ac:dyDescent="0.25">
      <c r="A74">
        <v>1329</v>
      </c>
      <c r="B74" t="s">
        <v>85</v>
      </c>
      <c r="C74" t="s">
        <v>155</v>
      </c>
      <c r="D74" t="s">
        <v>139</v>
      </c>
      <c r="E74" t="s">
        <v>138</v>
      </c>
      <c r="F74" t="s">
        <v>80</v>
      </c>
      <c r="G74" s="7">
        <v>3500</v>
      </c>
      <c r="H74" s="6">
        <v>32561</v>
      </c>
      <c r="I74" s="6">
        <v>23503</v>
      </c>
    </row>
    <row r="75" spans="1:9" hidden="1" x14ac:dyDescent="0.25">
      <c r="A75">
        <v>1572</v>
      </c>
      <c r="B75" t="s">
        <v>154</v>
      </c>
      <c r="C75" t="s">
        <v>153</v>
      </c>
      <c r="D75" t="s">
        <v>139</v>
      </c>
      <c r="E75" t="s">
        <v>138</v>
      </c>
      <c r="F75" t="s">
        <v>80</v>
      </c>
      <c r="G75" s="7">
        <v>3600</v>
      </c>
      <c r="H75" s="6">
        <v>32339</v>
      </c>
      <c r="I75" s="6">
        <v>22056</v>
      </c>
    </row>
    <row r="76" spans="1:9" hidden="1" x14ac:dyDescent="0.25">
      <c r="A76">
        <v>1300</v>
      </c>
      <c r="B76" t="s">
        <v>82</v>
      </c>
      <c r="C76" t="s">
        <v>53</v>
      </c>
      <c r="D76" t="s">
        <v>139</v>
      </c>
      <c r="E76" t="s">
        <v>138</v>
      </c>
      <c r="F76" t="s">
        <v>73</v>
      </c>
      <c r="G76" s="7">
        <v>2300</v>
      </c>
      <c r="H76" s="6">
        <v>32855</v>
      </c>
      <c r="I76" s="6">
        <v>24009</v>
      </c>
    </row>
    <row r="77" spans="1:9" hidden="1" x14ac:dyDescent="0.25">
      <c r="A77">
        <v>1557</v>
      </c>
      <c r="B77" t="s">
        <v>152</v>
      </c>
      <c r="C77" t="s">
        <v>151</v>
      </c>
      <c r="D77" t="s">
        <v>139</v>
      </c>
      <c r="E77" t="s">
        <v>138</v>
      </c>
      <c r="F77" t="s">
        <v>101</v>
      </c>
      <c r="G77" s="7">
        <v>1390</v>
      </c>
      <c r="H77" s="6">
        <v>29908</v>
      </c>
      <c r="I77" s="6">
        <v>24007</v>
      </c>
    </row>
    <row r="78" spans="1:9" hidden="1" x14ac:dyDescent="0.25">
      <c r="A78">
        <v>1169</v>
      </c>
      <c r="B78" t="s">
        <v>150</v>
      </c>
      <c r="C78" t="s">
        <v>149</v>
      </c>
      <c r="D78" t="s">
        <v>139</v>
      </c>
      <c r="E78" t="s">
        <v>138</v>
      </c>
      <c r="F78" t="s">
        <v>73</v>
      </c>
      <c r="G78" s="7">
        <v>5700</v>
      </c>
      <c r="H78" s="6">
        <v>33890</v>
      </c>
      <c r="I78" s="6">
        <v>25761</v>
      </c>
    </row>
    <row r="79" spans="1:9" hidden="1" x14ac:dyDescent="0.25">
      <c r="A79">
        <v>1758</v>
      </c>
      <c r="B79" t="s">
        <v>148</v>
      </c>
      <c r="C79" t="s">
        <v>147</v>
      </c>
      <c r="D79" t="s">
        <v>139</v>
      </c>
      <c r="E79" t="s">
        <v>138</v>
      </c>
      <c r="F79" t="s">
        <v>144</v>
      </c>
      <c r="G79" s="7">
        <v>1900</v>
      </c>
      <c r="H79" s="6">
        <v>30028</v>
      </c>
      <c r="I79" s="6">
        <v>22942</v>
      </c>
    </row>
    <row r="80" spans="1:9" hidden="1" x14ac:dyDescent="0.25">
      <c r="A80">
        <v>1310</v>
      </c>
      <c r="B80" t="s">
        <v>146</v>
      </c>
      <c r="C80" t="s">
        <v>145</v>
      </c>
      <c r="D80" t="s">
        <v>139</v>
      </c>
      <c r="E80" t="s">
        <v>138</v>
      </c>
      <c r="F80" t="s">
        <v>144</v>
      </c>
      <c r="G80" s="7">
        <v>1350</v>
      </c>
      <c r="H80" s="6">
        <v>31689</v>
      </c>
      <c r="I80" s="6">
        <v>23683</v>
      </c>
    </row>
    <row r="81" spans="1:9" hidden="1" x14ac:dyDescent="0.25">
      <c r="A81">
        <v>1041</v>
      </c>
      <c r="B81" t="s">
        <v>143</v>
      </c>
      <c r="C81" t="s">
        <v>142</v>
      </c>
      <c r="D81" t="s">
        <v>139</v>
      </c>
      <c r="E81" t="s">
        <v>138</v>
      </c>
      <c r="F81" t="s">
        <v>80</v>
      </c>
      <c r="G81" s="7">
        <v>4900</v>
      </c>
      <c r="H81" s="6">
        <v>33710</v>
      </c>
      <c r="I81" s="6">
        <v>23767</v>
      </c>
    </row>
    <row r="82" spans="1:9" hidden="1" x14ac:dyDescent="0.25">
      <c r="A82">
        <v>1361</v>
      </c>
      <c r="B82" t="s">
        <v>141</v>
      </c>
      <c r="C82" t="s">
        <v>140</v>
      </c>
      <c r="D82" t="s">
        <v>139</v>
      </c>
      <c r="E82" t="s">
        <v>138</v>
      </c>
      <c r="F82" t="s">
        <v>80</v>
      </c>
      <c r="G82" s="7">
        <v>2940</v>
      </c>
      <c r="H82" s="6">
        <v>32346</v>
      </c>
      <c r="I82" s="6">
        <v>22089</v>
      </c>
    </row>
    <row r="83" spans="1:9" hidden="1" x14ac:dyDescent="0.25">
      <c r="A83">
        <v>1793</v>
      </c>
      <c r="B83" t="s">
        <v>137</v>
      </c>
      <c r="C83" t="s">
        <v>136</v>
      </c>
      <c r="D83" t="s">
        <v>103</v>
      </c>
      <c r="E83" t="s">
        <v>122</v>
      </c>
      <c r="F83" t="s">
        <v>80</v>
      </c>
      <c r="G83" s="7">
        <v>1350</v>
      </c>
      <c r="H83" s="6">
        <v>33223</v>
      </c>
      <c r="I83" s="6">
        <v>25125</v>
      </c>
    </row>
    <row r="84" spans="1:9" hidden="1" x14ac:dyDescent="0.25">
      <c r="A84">
        <v>1967</v>
      </c>
      <c r="B84" t="s">
        <v>135</v>
      </c>
      <c r="C84" t="s">
        <v>134</v>
      </c>
      <c r="D84" t="s">
        <v>103</v>
      </c>
      <c r="E84" t="s">
        <v>122</v>
      </c>
      <c r="F84" t="s">
        <v>101</v>
      </c>
      <c r="G84" s="7">
        <v>1350</v>
      </c>
      <c r="H84" s="6">
        <v>33551</v>
      </c>
      <c r="I84" s="6">
        <v>25338</v>
      </c>
    </row>
    <row r="85" spans="1:9" hidden="1" x14ac:dyDescent="0.25">
      <c r="A85">
        <v>1725</v>
      </c>
      <c r="B85" t="s">
        <v>133</v>
      </c>
      <c r="C85" t="s">
        <v>132</v>
      </c>
      <c r="D85" t="s">
        <v>103</v>
      </c>
      <c r="E85" t="s">
        <v>122</v>
      </c>
      <c r="F85" t="s">
        <v>73</v>
      </c>
      <c r="G85" s="7">
        <v>5600</v>
      </c>
      <c r="H85" s="6">
        <v>28533</v>
      </c>
      <c r="I85" s="6">
        <v>20235</v>
      </c>
    </row>
    <row r="86" spans="1:9" hidden="1" x14ac:dyDescent="0.25">
      <c r="A86">
        <v>1969</v>
      </c>
      <c r="B86" t="s">
        <v>131</v>
      </c>
      <c r="C86" t="s">
        <v>130</v>
      </c>
      <c r="D86" t="s">
        <v>103</v>
      </c>
      <c r="E86" t="s">
        <v>122</v>
      </c>
      <c r="F86" t="s">
        <v>129</v>
      </c>
      <c r="G86">
        <v>980</v>
      </c>
      <c r="H86" s="6">
        <v>32612</v>
      </c>
      <c r="I86" s="6">
        <v>18903</v>
      </c>
    </row>
    <row r="87" spans="1:9" hidden="1" x14ac:dyDescent="0.25">
      <c r="A87">
        <v>1962</v>
      </c>
      <c r="B87" t="s">
        <v>128</v>
      </c>
      <c r="C87" t="s">
        <v>127</v>
      </c>
      <c r="D87" t="s">
        <v>103</v>
      </c>
      <c r="E87" t="s">
        <v>122</v>
      </c>
      <c r="F87" t="s">
        <v>80</v>
      </c>
      <c r="G87" s="7">
        <v>2900</v>
      </c>
      <c r="H87" s="6">
        <v>32072</v>
      </c>
      <c r="I87" s="6">
        <v>16533</v>
      </c>
    </row>
    <row r="88" spans="1:9" hidden="1" x14ac:dyDescent="0.25">
      <c r="A88">
        <v>1967</v>
      </c>
      <c r="B88" t="s">
        <v>126</v>
      </c>
      <c r="C88" t="s">
        <v>125</v>
      </c>
      <c r="D88" t="s">
        <v>103</v>
      </c>
      <c r="E88" t="s">
        <v>122</v>
      </c>
      <c r="F88" t="s">
        <v>80</v>
      </c>
      <c r="G88" s="7">
        <v>4600</v>
      </c>
      <c r="H88" s="6">
        <v>30054</v>
      </c>
      <c r="I88" s="6">
        <v>18888</v>
      </c>
    </row>
    <row r="89" spans="1:9" hidden="1" x14ac:dyDescent="0.25">
      <c r="A89">
        <v>1426</v>
      </c>
      <c r="B89" t="s">
        <v>124</v>
      </c>
      <c r="C89" t="s">
        <v>123</v>
      </c>
      <c r="D89" t="s">
        <v>103</v>
      </c>
      <c r="E89" t="s">
        <v>122</v>
      </c>
      <c r="F89" t="s">
        <v>80</v>
      </c>
      <c r="G89" s="7">
        <v>5600</v>
      </c>
      <c r="H89" s="6">
        <v>28376</v>
      </c>
      <c r="I89" s="6">
        <v>24906</v>
      </c>
    </row>
    <row r="90" spans="1:9" hidden="1" x14ac:dyDescent="0.25">
      <c r="A90">
        <v>1509</v>
      </c>
      <c r="B90" t="s">
        <v>121</v>
      </c>
      <c r="C90" t="s">
        <v>120</v>
      </c>
      <c r="D90" t="s">
        <v>103</v>
      </c>
      <c r="E90" t="s">
        <v>102</v>
      </c>
      <c r="F90" t="s">
        <v>101</v>
      </c>
      <c r="G90" s="7">
        <v>1350</v>
      </c>
      <c r="H90" s="6">
        <v>31217</v>
      </c>
      <c r="I90" s="6">
        <v>22943</v>
      </c>
    </row>
    <row r="91" spans="1:9" hidden="1" x14ac:dyDescent="0.25">
      <c r="A91">
        <v>1673</v>
      </c>
      <c r="B91" t="s">
        <v>119</v>
      </c>
      <c r="C91" t="s">
        <v>118</v>
      </c>
      <c r="D91" t="s">
        <v>103</v>
      </c>
      <c r="E91" t="s">
        <v>102</v>
      </c>
      <c r="F91" t="s">
        <v>80</v>
      </c>
      <c r="G91" s="7">
        <v>1350</v>
      </c>
      <c r="H91" s="6">
        <v>32979</v>
      </c>
      <c r="I91" s="6">
        <v>22890</v>
      </c>
    </row>
    <row r="92" spans="1:9" hidden="1" x14ac:dyDescent="0.25">
      <c r="A92">
        <v>1352</v>
      </c>
      <c r="B92" t="s">
        <v>117</v>
      </c>
      <c r="C92" t="s">
        <v>116</v>
      </c>
      <c r="D92" t="s">
        <v>103</v>
      </c>
      <c r="E92" t="s">
        <v>102</v>
      </c>
      <c r="F92" t="s">
        <v>80</v>
      </c>
      <c r="G92" s="7">
        <v>1980</v>
      </c>
      <c r="H92" s="6">
        <v>30212</v>
      </c>
      <c r="I92" s="6">
        <v>21388</v>
      </c>
    </row>
    <row r="93" spans="1:9" hidden="1" x14ac:dyDescent="0.25">
      <c r="A93">
        <v>1922</v>
      </c>
      <c r="B93" t="s">
        <v>115</v>
      </c>
      <c r="C93" t="s">
        <v>114</v>
      </c>
      <c r="D93" t="s">
        <v>103</v>
      </c>
      <c r="E93" t="s">
        <v>102</v>
      </c>
      <c r="F93" t="s">
        <v>80</v>
      </c>
      <c r="G93" s="7">
        <v>2100</v>
      </c>
      <c r="H93" s="6">
        <v>31751</v>
      </c>
      <c r="I93" s="6">
        <v>22336</v>
      </c>
    </row>
    <row r="94" spans="1:9" hidden="1" x14ac:dyDescent="0.25">
      <c r="A94">
        <v>1518</v>
      </c>
      <c r="B94" t="s">
        <v>113</v>
      </c>
      <c r="C94" t="s">
        <v>112</v>
      </c>
      <c r="D94" t="s">
        <v>103</v>
      </c>
      <c r="E94" t="s">
        <v>102</v>
      </c>
      <c r="F94" t="s">
        <v>80</v>
      </c>
      <c r="G94" s="7">
        <v>2600</v>
      </c>
      <c r="H94" s="6">
        <v>33042</v>
      </c>
      <c r="I94" s="6">
        <v>23203</v>
      </c>
    </row>
    <row r="95" spans="1:9" hidden="1" x14ac:dyDescent="0.25">
      <c r="A95">
        <v>1331</v>
      </c>
      <c r="B95" t="s">
        <v>111</v>
      </c>
      <c r="C95" t="s">
        <v>110</v>
      </c>
      <c r="D95" t="s">
        <v>103</v>
      </c>
      <c r="E95" t="s">
        <v>102</v>
      </c>
      <c r="F95" t="s">
        <v>80</v>
      </c>
      <c r="G95" s="7">
        <v>3100</v>
      </c>
      <c r="H95" s="6">
        <v>32639</v>
      </c>
      <c r="I95" s="6">
        <v>23518</v>
      </c>
    </row>
    <row r="96" spans="1:9" hidden="1" x14ac:dyDescent="0.25">
      <c r="A96">
        <v>1303</v>
      </c>
      <c r="B96" t="s">
        <v>109</v>
      </c>
      <c r="C96" t="s">
        <v>108</v>
      </c>
      <c r="D96" t="s">
        <v>103</v>
      </c>
      <c r="E96" t="s">
        <v>102</v>
      </c>
      <c r="F96" t="s">
        <v>73</v>
      </c>
      <c r="G96" s="7">
        <v>5600</v>
      </c>
      <c r="H96" s="6">
        <v>32205</v>
      </c>
      <c r="I96" s="6">
        <v>20280</v>
      </c>
    </row>
    <row r="97" spans="1:9" hidden="1" x14ac:dyDescent="0.25">
      <c r="A97">
        <v>1302</v>
      </c>
      <c r="B97" t="s">
        <v>107</v>
      </c>
      <c r="C97" t="s">
        <v>106</v>
      </c>
      <c r="D97" t="s">
        <v>103</v>
      </c>
      <c r="E97" t="s">
        <v>102</v>
      </c>
      <c r="F97" t="s">
        <v>80</v>
      </c>
      <c r="G97" s="7">
        <v>3800</v>
      </c>
      <c r="H97" s="6">
        <v>30892</v>
      </c>
      <c r="I97" s="6">
        <v>20276</v>
      </c>
    </row>
    <row r="98" spans="1:9" hidden="1" x14ac:dyDescent="0.25">
      <c r="A98">
        <v>1334</v>
      </c>
      <c r="B98" t="s">
        <v>105</v>
      </c>
      <c r="C98" t="s">
        <v>104</v>
      </c>
      <c r="D98" t="s">
        <v>103</v>
      </c>
      <c r="E98" t="s">
        <v>102</v>
      </c>
      <c r="F98" t="s">
        <v>101</v>
      </c>
      <c r="G98" s="7">
        <v>1350</v>
      </c>
      <c r="H98" s="6">
        <v>32971</v>
      </c>
      <c r="I98" s="6">
        <v>24033</v>
      </c>
    </row>
    <row r="99" spans="1:9" hidden="1" x14ac:dyDescent="0.25">
      <c r="A99">
        <v>1975</v>
      </c>
      <c r="B99" t="s">
        <v>100</v>
      </c>
      <c r="C99" t="s">
        <v>53</v>
      </c>
      <c r="D99" t="s">
        <v>67</v>
      </c>
      <c r="E99" t="s">
        <v>83</v>
      </c>
      <c r="F99" t="s">
        <v>80</v>
      </c>
      <c r="G99" s="7">
        <v>3200</v>
      </c>
      <c r="H99" s="6">
        <v>33365</v>
      </c>
      <c r="I99" s="6">
        <v>25839</v>
      </c>
    </row>
    <row r="100" spans="1:9" x14ac:dyDescent="0.25">
      <c r="A100">
        <v>1759</v>
      </c>
      <c r="B100" t="s">
        <v>99</v>
      </c>
      <c r="C100" t="s">
        <v>98</v>
      </c>
      <c r="D100" t="s">
        <v>67</v>
      </c>
      <c r="E100" t="s">
        <v>83</v>
      </c>
      <c r="F100" t="s">
        <v>80</v>
      </c>
      <c r="G100" s="7">
        <v>4700</v>
      </c>
      <c r="H100" s="6">
        <v>30020</v>
      </c>
      <c r="I100" s="6">
        <v>22953</v>
      </c>
    </row>
    <row r="101" spans="1:9" hidden="1" x14ac:dyDescent="0.25">
      <c r="A101">
        <v>1055</v>
      </c>
      <c r="B101" t="s">
        <v>97</v>
      </c>
      <c r="C101" t="s">
        <v>96</v>
      </c>
      <c r="D101" t="s">
        <v>67</v>
      </c>
      <c r="E101" t="s">
        <v>83</v>
      </c>
      <c r="F101" t="s">
        <v>80</v>
      </c>
      <c r="G101" s="7">
        <v>3200</v>
      </c>
      <c r="H101" s="6">
        <v>33336</v>
      </c>
      <c r="I101" s="6">
        <v>24704</v>
      </c>
    </row>
    <row r="102" spans="1:9" x14ac:dyDescent="0.25">
      <c r="A102">
        <v>1054</v>
      </c>
      <c r="B102" t="s">
        <v>95</v>
      </c>
      <c r="C102" t="s">
        <v>94</v>
      </c>
      <c r="D102" t="s">
        <v>67</v>
      </c>
      <c r="E102" t="s">
        <v>83</v>
      </c>
      <c r="F102" t="s">
        <v>65</v>
      </c>
      <c r="G102" s="7">
        <v>4100</v>
      </c>
      <c r="H102" s="6">
        <v>33344</v>
      </c>
      <c r="I102" s="6">
        <v>24693</v>
      </c>
    </row>
    <row r="103" spans="1:9" x14ac:dyDescent="0.25">
      <c r="A103">
        <v>1075</v>
      </c>
      <c r="B103" t="s">
        <v>93</v>
      </c>
      <c r="C103" t="s">
        <v>92</v>
      </c>
      <c r="D103" t="s">
        <v>67</v>
      </c>
      <c r="E103" t="s">
        <v>83</v>
      </c>
      <c r="F103" t="s">
        <v>65</v>
      </c>
      <c r="G103" s="7">
        <v>3200</v>
      </c>
      <c r="H103" s="6">
        <v>33823</v>
      </c>
      <c r="I103" s="6">
        <v>25443</v>
      </c>
    </row>
    <row r="104" spans="1:9" hidden="1" x14ac:dyDescent="0.25">
      <c r="A104">
        <v>1966</v>
      </c>
      <c r="B104" t="s">
        <v>91</v>
      </c>
      <c r="C104" t="s">
        <v>90</v>
      </c>
      <c r="D104" t="s">
        <v>67</v>
      </c>
      <c r="E104" t="s">
        <v>83</v>
      </c>
      <c r="F104" t="s">
        <v>65</v>
      </c>
      <c r="G104" s="7">
        <v>3900</v>
      </c>
      <c r="H104" s="6">
        <v>33559</v>
      </c>
      <c r="I104" s="6">
        <v>25327</v>
      </c>
    </row>
    <row r="105" spans="1:9" hidden="1" x14ac:dyDescent="0.25">
      <c r="A105">
        <v>1354</v>
      </c>
      <c r="B105" t="s">
        <v>89</v>
      </c>
      <c r="C105" t="s">
        <v>88</v>
      </c>
      <c r="D105" t="s">
        <v>67</v>
      </c>
      <c r="E105" t="s">
        <v>83</v>
      </c>
      <c r="F105" t="s">
        <v>73</v>
      </c>
      <c r="G105" s="7">
        <v>3200</v>
      </c>
      <c r="H105" s="6">
        <v>31538</v>
      </c>
      <c r="I105" s="6">
        <v>17751</v>
      </c>
    </row>
    <row r="106" spans="1:9" hidden="1" x14ac:dyDescent="0.25">
      <c r="A106">
        <v>1696</v>
      </c>
      <c r="B106" t="s">
        <v>87</v>
      </c>
      <c r="C106" t="s">
        <v>86</v>
      </c>
      <c r="D106" t="s">
        <v>67</v>
      </c>
      <c r="E106" t="s">
        <v>83</v>
      </c>
      <c r="F106" t="s">
        <v>80</v>
      </c>
      <c r="G106" s="7">
        <v>3200</v>
      </c>
      <c r="H106" s="6">
        <v>30967</v>
      </c>
      <c r="I106" s="6">
        <v>14626</v>
      </c>
    </row>
    <row r="107" spans="1:9" hidden="1" x14ac:dyDescent="0.25">
      <c r="A107">
        <v>1299</v>
      </c>
      <c r="B107" t="s">
        <v>85</v>
      </c>
      <c r="C107" t="s">
        <v>84</v>
      </c>
      <c r="D107" t="s">
        <v>67</v>
      </c>
      <c r="E107" t="s">
        <v>83</v>
      </c>
      <c r="F107" t="s">
        <v>80</v>
      </c>
      <c r="G107" s="7">
        <v>3200</v>
      </c>
      <c r="H107" s="6">
        <v>32863</v>
      </c>
      <c r="I107" s="6">
        <v>23998</v>
      </c>
    </row>
    <row r="108" spans="1:9" hidden="1" x14ac:dyDescent="0.25">
      <c r="A108">
        <v>1529</v>
      </c>
      <c r="B108" t="s">
        <v>82</v>
      </c>
      <c r="C108" t="s">
        <v>81</v>
      </c>
      <c r="D108" t="s">
        <v>67</v>
      </c>
      <c r="E108" t="s">
        <v>66</v>
      </c>
      <c r="F108" t="s">
        <v>80</v>
      </c>
      <c r="G108" s="7">
        <v>3200</v>
      </c>
      <c r="H108" s="6">
        <v>31805</v>
      </c>
      <c r="I108" s="6">
        <v>24476</v>
      </c>
    </row>
    <row r="109" spans="1:9" hidden="1" x14ac:dyDescent="0.25">
      <c r="A109">
        <v>1080</v>
      </c>
      <c r="B109" t="s">
        <v>79</v>
      </c>
      <c r="C109" t="s">
        <v>78</v>
      </c>
      <c r="D109" t="s">
        <v>67</v>
      </c>
      <c r="E109" t="s">
        <v>66</v>
      </c>
      <c r="F109" t="s">
        <v>65</v>
      </c>
      <c r="G109" s="7">
        <v>3700</v>
      </c>
      <c r="H109" s="6">
        <v>32445</v>
      </c>
      <c r="I109" s="6">
        <v>19334</v>
      </c>
    </row>
    <row r="110" spans="1:9" hidden="1" x14ac:dyDescent="0.25">
      <c r="A110">
        <v>1353</v>
      </c>
      <c r="B110" t="s">
        <v>77</v>
      </c>
      <c r="C110" t="s">
        <v>76</v>
      </c>
      <c r="D110" t="s">
        <v>67</v>
      </c>
      <c r="E110" t="s">
        <v>66</v>
      </c>
      <c r="F110" t="s">
        <v>65</v>
      </c>
      <c r="G110" s="7">
        <v>3600</v>
      </c>
      <c r="H110" s="6">
        <v>30204</v>
      </c>
      <c r="I110" s="6">
        <v>21399</v>
      </c>
    </row>
    <row r="111" spans="1:9" hidden="1" x14ac:dyDescent="0.25">
      <c r="A111">
        <v>1369</v>
      </c>
      <c r="B111" t="s">
        <v>75</v>
      </c>
      <c r="C111" t="s">
        <v>74</v>
      </c>
      <c r="D111" t="s">
        <v>67</v>
      </c>
      <c r="E111" t="s">
        <v>66</v>
      </c>
      <c r="F111" t="s">
        <v>73</v>
      </c>
      <c r="G111" s="7">
        <v>4200</v>
      </c>
      <c r="H111" s="6">
        <v>30378</v>
      </c>
      <c r="I111" s="6">
        <v>21689</v>
      </c>
    </row>
    <row r="112" spans="1:9" hidden="1" x14ac:dyDescent="0.25">
      <c r="A112">
        <v>1370</v>
      </c>
      <c r="B112" t="s">
        <v>72</v>
      </c>
      <c r="C112" t="s">
        <v>71</v>
      </c>
      <c r="D112" t="s">
        <v>67</v>
      </c>
      <c r="E112" t="s">
        <v>66</v>
      </c>
      <c r="F112" t="s">
        <v>65</v>
      </c>
      <c r="G112" s="7">
        <v>3600</v>
      </c>
      <c r="H112" s="6">
        <v>32108</v>
      </c>
      <c r="I112" s="6">
        <v>21693</v>
      </c>
    </row>
    <row r="113" spans="1:9" hidden="1" x14ac:dyDescent="0.25">
      <c r="A113">
        <v>1677</v>
      </c>
      <c r="B113" t="s">
        <v>70</v>
      </c>
      <c r="C113" t="s">
        <v>55</v>
      </c>
      <c r="D113" t="s">
        <v>67</v>
      </c>
      <c r="E113" t="s">
        <v>66</v>
      </c>
      <c r="F113" t="s">
        <v>65</v>
      </c>
      <c r="G113" s="7">
        <v>3700</v>
      </c>
      <c r="H113" s="6">
        <v>32087</v>
      </c>
      <c r="I113" s="6">
        <v>25462</v>
      </c>
    </row>
    <row r="114" spans="1:9" hidden="1" x14ac:dyDescent="0.25">
      <c r="A114">
        <v>1427</v>
      </c>
      <c r="B114" t="s">
        <v>69</v>
      </c>
      <c r="C114" t="s">
        <v>68</v>
      </c>
      <c r="D114" t="s">
        <v>67</v>
      </c>
      <c r="E114" t="s">
        <v>66</v>
      </c>
      <c r="F114" t="s">
        <v>65</v>
      </c>
      <c r="G114" s="7">
        <v>3400</v>
      </c>
      <c r="H114" s="6">
        <v>28368</v>
      </c>
      <c r="I114" s="6">
        <v>21263</v>
      </c>
    </row>
  </sheetData>
  <autoFilter ref="A1:I114" xr:uid="{53271A32-6B7D-4D2F-8507-F7C11CC61A7B}">
    <filterColumn colId="1">
      <customFilters>
        <customFilter val="S*"/>
        <customFilter val="A*"/>
      </customFilters>
    </filterColumn>
    <filterColumn colId="6">
      <customFilters and="1">
        <customFilter operator="greaterThanOrEqual" val="3000"/>
        <customFilter operator="lessThanOrEqual" val="50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Empresa_Castilla</vt:lpstr>
      <vt:lpstr>Universidad</vt:lpstr>
      <vt:lpstr>Ordenar</vt:lpstr>
      <vt:lpstr>Filtros</vt:lpstr>
      <vt:lpstr>Tabla1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ALUMNO - KRIZTOFER DANIEL CASTILLA AYBAR</cp:lastModifiedBy>
  <dcterms:created xsi:type="dcterms:W3CDTF">2013-09-20T10:04:25Z</dcterms:created>
  <dcterms:modified xsi:type="dcterms:W3CDTF">2024-07-30T23:41:05Z</dcterms:modified>
</cp:coreProperties>
</file>